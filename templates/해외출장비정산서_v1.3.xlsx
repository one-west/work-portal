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ytc\Downloads\해외출장비정산서 업무관련자료\"/>
    </mc:Choice>
  </mc:AlternateContent>
  <xr:revisionPtr revIDLastSave="0" documentId="13_ncr:1_{60634805-7B96-4F3E-93F2-4DAE05328C45}" xr6:coauthVersionLast="47" xr6:coauthVersionMax="47" xr10:uidLastSave="{00000000-0000-0000-0000-000000000000}"/>
  <bookViews>
    <workbookView xWindow="-120" yWindow="-120" windowWidth="38640" windowHeight="21120" tabRatio="894" activeTab="2" xr2:uid="{EDC5C3B4-C428-4E8A-BC35-7187996A6570}"/>
  </bookViews>
  <sheets>
    <sheet name="출장비 정산(원화지급원화회수)" sheetId="142" r:id="rId1"/>
    <sheet name="출장비 정산(외화지급외화회수)" sheetId="149" r:id="rId2"/>
    <sheet name="2-1출장경비 법인카드" sheetId="146" r:id="rId3"/>
    <sheet name="2-2출장경비 현금" sheetId="147" r:id="rId4"/>
    <sheet name="2-3출장경비 개인경비" sheetId="148" r:id="rId5"/>
    <sheet name="3.간이영수증 샘플" sheetId="150" r:id="rId6"/>
    <sheet name="4.분류" sheetId="151" r:id="rId7"/>
  </sheets>
  <definedNames>
    <definedName name="_xlnm._FilterDatabase" localSheetId="2" hidden="1">'2-1출장경비 법인카드'!$A$7:$Z$7</definedName>
    <definedName name="_xlnm._FilterDatabase" localSheetId="3" hidden="1">'2-2출장경비 현금'!$A$7:$Z$7</definedName>
    <definedName name="_xlnm._FilterDatabase" localSheetId="4" hidden="1">'2-3출장경비 개인경비'!$A$7:$Z$7</definedName>
    <definedName name="_xlnm._FilterDatabase" localSheetId="1" hidden="1">'출장비 정산(외화지급외화회수)'!$B$4:$M$4</definedName>
    <definedName name="_xlnm._FilterDatabase" localSheetId="0" hidden="1">'출장비 정산(원화지급원화회수)'!$B$4:$J$4</definedName>
    <definedName name="_xlnm.Print_Area" localSheetId="2">'2-1출장경비 법인카드'!$A$1:$M$31</definedName>
    <definedName name="_xlnm.Print_Area" localSheetId="3">'2-2출장경비 현금'!$A$1:$M$14</definedName>
    <definedName name="_xlnm.Print_Area" localSheetId="4">'2-3출장경비 개인경비'!$A$1:$M$12</definedName>
    <definedName name="_xlnm.Print_Area" localSheetId="5">'3.간이영수증 샘플'!$A$1:$O$43</definedName>
    <definedName name="_xlnm.Print_Area" localSheetId="1">'출장비 정산(외화지급외화회수)'!$B$4:$H$44</definedName>
    <definedName name="_xlnm.Print_Area" localSheetId="0">'출장비 정산(원화지급원화회수)'!$B$4:$G$39</definedName>
  </definedNames>
  <calcPr calcId="191029"/>
</workbook>
</file>

<file path=xl/calcChain.xml><?xml version="1.0" encoding="utf-8"?>
<calcChain xmlns="http://schemas.openxmlformats.org/spreadsheetml/2006/main">
  <c r="A9" i="147" l="1"/>
  <c r="H31" i="146"/>
  <c r="I31" i="146"/>
  <c r="L31" i="146"/>
  <c r="A11" i="148"/>
  <c r="A10" i="148"/>
  <c r="A9" i="148"/>
  <c r="A13" i="147"/>
  <c r="A12" i="147"/>
  <c r="A11" i="147"/>
  <c r="A10" i="147"/>
  <c r="A10" i="146"/>
  <c r="A9" i="146"/>
  <c r="A30" i="146"/>
  <c r="A29" i="146"/>
  <c r="A28" i="146"/>
  <c r="A27" i="146"/>
  <c r="A26" i="146"/>
  <c r="A25" i="146"/>
  <c r="A24" i="146"/>
  <c r="A23" i="146"/>
  <c r="A22" i="146"/>
  <c r="A21" i="146"/>
  <c r="A20" i="146"/>
  <c r="A19" i="146"/>
  <c r="A18" i="146"/>
  <c r="A17" i="146"/>
  <c r="A16" i="146"/>
  <c r="A15" i="146"/>
  <c r="A14" i="146"/>
  <c r="A13" i="146"/>
  <c r="A12" i="146"/>
  <c r="A11" i="146"/>
  <c r="F7" i="142"/>
  <c r="E20" i="142"/>
  <c r="E19" i="142"/>
  <c r="C24" i="142"/>
  <c r="C18" i="142"/>
  <c r="C25" i="142"/>
  <c r="D24" i="142"/>
  <c r="E17" i="142"/>
  <c r="C20" i="142"/>
  <c r="E15" i="142"/>
  <c r="C22" i="142"/>
  <c r="E21" i="142"/>
  <c r="D19" i="142"/>
  <c r="D21" i="142"/>
  <c r="D16" i="142"/>
  <c r="D20" i="142"/>
  <c r="C23" i="142"/>
  <c r="C16" i="142"/>
  <c r="E24" i="142"/>
  <c r="E22" i="142"/>
  <c r="D18" i="142"/>
  <c r="C26" i="142"/>
  <c r="D22" i="142"/>
  <c r="D15" i="142"/>
  <c r="D23" i="142"/>
  <c r="D26" i="142"/>
  <c r="C21" i="142"/>
  <c r="C19" i="142"/>
  <c r="D17" i="142"/>
  <c r="E26" i="142"/>
  <c r="E23" i="142"/>
  <c r="C15" i="142"/>
  <c r="C17" i="142"/>
  <c r="E25" i="142"/>
  <c r="E18" i="142"/>
  <c r="E16" i="142"/>
  <c r="K9" i="147" l="1"/>
  <c r="J9" i="147"/>
  <c r="G32" i="149"/>
  <c r="F32" i="149" s="1"/>
  <c r="G31" i="149"/>
  <c r="E33" i="149"/>
  <c r="D33" i="149"/>
  <c r="F31" i="149"/>
  <c r="C19" i="149"/>
  <c r="E22" i="149"/>
  <c r="E18" i="149"/>
  <c r="E26" i="149"/>
  <c r="D16" i="149"/>
  <c r="C14" i="149"/>
  <c r="D18" i="149"/>
  <c r="C22" i="149"/>
  <c r="E21" i="149"/>
  <c r="C16" i="149"/>
  <c r="C18" i="149"/>
  <c r="D20" i="149"/>
  <c r="E23" i="149"/>
  <c r="E17" i="149"/>
  <c r="C21" i="149"/>
  <c r="D15" i="149"/>
  <c r="D26" i="149"/>
  <c r="E14" i="149"/>
  <c r="C23" i="149"/>
  <c r="C25" i="149"/>
  <c r="D14" i="149"/>
  <c r="D22" i="149"/>
  <c r="C17" i="149"/>
  <c r="E20" i="149"/>
  <c r="E24" i="149"/>
  <c r="D25" i="149"/>
  <c r="D23" i="149"/>
  <c r="E19" i="149"/>
  <c r="D17" i="149"/>
  <c r="C20" i="149"/>
  <c r="E25" i="149"/>
  <c r="D21" i="149"/>
  <c r="C15" i="149"/>
  <c r="C26" i="149"/>
  <c r="C24" i="149"/>
  <c r="E16" i="149"/>
  <c r="E15" i="149"/>
  <c r="F33" i="149" l="1"/>
  <c r="E27" i="149" l="1"/>
  <c r="C27" i="149"/>
  <c r="F26" i="149"/>
  <c r="F25" i="149"/>
  <c r="F23" i="149"/>
  <c r="F22" i="149"/>
  <c r="F21" i="149"/>
  <c r="F20" i="149"/>
  <c r="F18" i="149"/>
  <c r="F17" i="149"/>
  <c r="F16" i="149"/>
  <c r="F15" i="149"/>
  <c r="F14" i="149"/>
  <c r="F7" i="149"/>
  <c r="L12" i="148"/>
  <c r="I12" i="148"/>
  <c r="H12" i="148"/>
  <c r="I14" i="147"/>
  <c r="E34" i="149" s="1"/>
  <c r="E35" i="149" s="1"/>
  <c r="H14" i="147"/>
  <c r="D34" i="149" s="1"/>
  <c r="L13" i="147"/>
  <c r="L12" i="147"/>
  <c r="L11" i="147"/>
  <c r="L10" i="147"/>
  <c r="L9" i="147"/>
  <c r="I8" i="147"/>
  <c r="I8" i="148" s="1"/>
  <c r="K30" i="146"/>
  <c r="J30" i="146"/>
  <c r="K29" i="146"/>
  <c r="J29" i="146"/>
  <c r="K28" i="146"/>
  <c r="J28" i="146"/>
  <c r="K27" i="146"/>
  <c r="J27" i="146"/>
  <c r="K26" i="146"/>
  <c r="J26" i="146"/>
  <c r="K25" i="146"/>
  <c r="J25" i="146"/>
  <c r="K24" i="146"/>
  <c r="J24" i="146"/>
  <c r="K23" i="146"/>
  <c r="J23" i="146"/>
  <c r="K22" i="146"/>
  <c r="J22" i="146"/>
  <c r="K21" i="146"/>
  <c r="J21" i="146"/>
  <c r="K20" i="146"/>
  <c r="J20" i="146"/>
  <c r="K19" i="146"/>
  <c r="J19" i="146"/>
  <c r="K18" i="146"/>
  <c r="J18" i="146"/>
  <c r="K17" i="146"/>
  <c r="J17" i="146"/>
  <c r="K16" i="146"/>
  <c r="J16" i="146"/>
  <c r="K15" i="146"/>
  <c r="J15" i="146"/>
  <c r="K14" i="146"/>
  <c r="J14" i="146"/>
  <c r="K13" i="146"/>
  <c r="J13" i="146"/>
  <c r="K12" i="146"/>
  <c r="J12" i="146"/>
  <c r="K11" i="146"/>
  <c r="J11" i="146"/>
  <c r="D25" i="142"/>
  <c r="E14" i="142"/>
  <c r="C14" i="142"/>
  <c r="D14" i="142"/>
  <c r="D19" i="149"/>
  <c r="D24" i="149"/>
  <c r="F19" i="149" l="1"/>
  <c r="F34" i="149"/>
  <c r="F35" i="149" s="1"/>
  <c r="D35" i="149"/>
  <c r="K27" i="149"/>
  <c r="M27" i="149"/>
  <c r="D27" i="149"/>
  <c r="F27" i="149" s="1"/>
  <c r="F24" i="149"/>
  <c r="L14" i="147"/>
  <c r="F25" i="142"/>
  <c r="F17" i="142"/>
  <c r="F21" i="142"/>
  <c r="F22" i="142"/>
  <c r="F23" i="142"/>
  <c r="F19" i="142"/>
  <c r="F26" i="142"/>
  <c r="F20" i="142"/>
  <c r="F14" i="142"/>
  <c r="F18" i="142"/>
  <c r="E27" i="142"/>
  <c r="F24" i="142"/>
  <c r="F16" i="142"/>
  <c r="F15" i="142"/>
  <c r="C27" i="142"/>
  <c r="H27" i="142" s="1"/>
  <c r="D27" i="142"/>
  <c r="J27" i="142" l="1"/>
  <c r="F31" i="142"/>
  <c r="L27" i="149"/>
  <c r="E31" i="142"/>
  <c r="I27" i="142"/>
  <c r="F27" i="142"/>
  <c r="G31" i="142" l="1"/>
</calcChain>
</file>

<file path=xl/sharedStrings.xml><?xml version="1.0" encoding="utf-8"?>
<sst xmlns="http://schemas.openxmlformats.org/spreadsheetml/2006/main" count="433" uniqueCount="201">
  <si>
    <t>US($)</t>
    <phoneticPr fontId="5" type="noConversion"/>
  </si>
  <si>
    <t>Rupiah(IDR)</t>
    <phoneticPr fontId="5" type="noConversion"/>
  </si>
  <si>
    <t>렌터카</t>
  </si>
  <si>
    <t>여비교통비</t>
  </si>
  <si>
    <t>식비</t>
  </si>
  <si>
    <t>회식비</t>
  </si>
  <si>
    <t>접대비</t>
  </si>
  <si>
    <t>생필품</t>
  </si>
  <si>
    <t>소모품비</t>
  </si>
  <si>
    <t>수수료</t>
  </si>
  <si>
    <t>통신비</t>
  </si>
  <si>
    <t>의약품 외</t>
  </si>
  <si>
    <t>지출구분</t>
    <phoneticPr fontId="5" type="noConversion"/>
  </si>
  <si>
    <t>현금</t>
    <phoneticPr fontId="5" type="noConversion"/>
  </si>
  <si>
    <t>정산내역</t>
    <phoneticPr fontId="5" type="noConversion"/>
  </si>
  <si>
    <t>합계</t>
    <phoneticPr fontId="5" type="noConversion"/>
  </si>
  <si>
    <t>2) 정산내역</t>
    <phoneticPr fontId="5" type="noConversion"/>
  </si>
  <si>
    <t>항목</t>
    <phoneticPr fontId="5" type="noConversion"/>
  </si>
  <si>
    <t>출장기간</t>
    <phoneticPr fontId="5" type="noConversion"/>
  </si>
  <si>
    <t>환율표(*출국일 기준 환율)</t>
    <phoneticPr fontId="5" type="noConversion"/>
  </si>
  <si>
    <t>출장자</t>
    <phoneticPr fontId="5" type="noConversion"/>
  </si>
  <si>
    <t>출장목적</t>
    <phoneticPr fontId="5" type="noConversion"/>
  </si>
  <si>
    <t>출장지역/업체</t>
    <phoneticPr fontId="5" type="noConversion"/>
  </si>
  <si>
    <t>홍길동</t>
    <phoneticPr fontId="5" type="noConversion"/>
  </si>
  <si>
    <t>인하우스 현장지원</t>
  </si>
  <si>
    <t>합계(\)</t>
    <phoneticPr fontId="5" type="noConversion"/>
  </si>
  <si>
    <t>□ 해외출장 여비정산서</t>
    <phoneticPr fontId="5" type="noConversion"/>
  </si>
  <si>
    <t>인도네시아 / HLI</t>
    <phoneticPr fontId="5" type="noConversion"/>
  </si>
  <si>
    <t>개인경비</t>
  </si>
  <si>
    <t>개인경비</t>
    <phoneticPr fontId="5" type="noConversion"/>
  </si>
  <si>
    <t>3) 현금 내역</t>
    <phoneticPr fontId="5" type="noConversion"/>
  </si>
  <si>
    <t>지급액</t>
    <phoneticPr fontId="5" type="noConversion"/>
  </si>
  <si>
    <t>사용액</t>
    <phoneticPr fontId="5" type="noConversion"/>
  </si>
  <si>
    <t>카드</t>
  </si>
  <si>
    <t>현금</t>
  </si>
  <si>
    <t>지 출 명 세 서</t>
    <phoneticPr fontId="14" type="noConversion"/>
  </si>
  <si>
    <t>법 인 카 드 상 세 내 역</t>
    <phoneticPr fontId="5" type="noConversion"/>
  </si>
  <si>
    <t xml:space="preserve">* 영수증 건별로 작성 </t>
    <phoneticPr fontId="14" type="noConversion"/>
  </si>
  <si>
    <t>날짜</t>
    <phoneticPr fontId="5" type="noConversion"/>
  </si>
  <si>
    <t>번호</t>
    <phoneticPr fontId="5" type="noConversion"/>
  </si>
  <si>
    <t>상호</t>
    <phoneticPr fontId="5" type="noConversion"/>
  </si>
  <si>
    <t>항목</t>
    <phoneticPr fontId="14" type="noConversion"/>
  </si>
  <si>
    <t>구분</t>
    <phoneticPr fontId="14" type="noConversion"/>
  </si>
  <si>
    <t>상세내역</t>
    <phoneticPr fontId="5" type="noConversion"/>
  </si>
  <si>
    <t>현지화</t>
    <phoneticPr fontId="5" type="noConversion"/>
  </si>
  <si>
    <t>USD환율
(매매기준)</t>
    <phoneticPr fontId="14" type="noConversion"/>
  </si>
  <si>
    <t>IDR환율
(매매기준)</t>
    <phoneticPr fontId="14" type="noConversion"/>
  </si>
  <si>
    <t>원화금액</t>
    <phoneticPr fontId="5" type="noConversion"/>
  </si>
  <si>
    <t>사용자</t>
    <phoneticPr fontId="5" type="noConversion"/>
  </si>
  <si>
    <t>USD</t>
    <phoneticPr fontId="5" type="noConversion"/>
  </si>
  <si>
    <t>IDR</t>
    <phoneticPr fontId="5" type="noConversion"/>
  </si>
  <si>
    <t>2023.03.14</t>
    <phoneticPr fontId="14" type="noConversion"/>
  </si>
  <si>
    <t>식비</t>
    <phoneticPr fontId="14" type="noConversion"/>
  </si>
  <si>
    <t>법인카드</t>
  </si>
  <si>
    <t>음료</t>
    <phoneticPr fontId="14" type="noConversion"/>
  </si>
  <si>
    <t>중식</t>
    <phoneticPr fontId="14" type="noConversion"/>
  </si>
  <si>
    <t>접대비</t>
    <phoneticPr fontId="14" type="noConversion"/>
  </si>
  <si>
    <t>고객사 커피</t>
    <phoneticPr fontId="14" type="noConversion"/>
  </si>
  <si>
    <t>고객사 석식</t>
    <phoneticPr fontId="14" type="noConversion"/>
  </si>
  <si>
    <t>고객사 야식</t>
    <phoneticPr fontId="14" type="noConversion"/>
  </si>
  <si>
    <t>공항-&gt;호텔-&gt;SDI-&gt;식당-&gt;호텔</t>
    <phoneticPr fontId="14" type="noConversion"/>
  </si>
  <si>
    <t>2023.03.15</t>
  </si>
  <si>
    <t>조식</t>
    <phoneticPr fontId="14" type="noConversion"/>
  </si>
  <si>
    <t>호텔-&gt;SDI-&gt;식당-&gt;호텔</t>
    <phoneticPr fontId="14" type="noConversion"/>
  </si>
  <si>
    <t>2023.03.16</t>
  </si>
  <si>
    <t>2023.03.16</t>
    <phoneticPr fontId="14" type="noConversion"/>
  </si>
  <si>
    <t>고객사 커피</t>
  </si>
  <si>
    <t>2023.03.17</t>
  </si>
  <si>
    <t>공항버스</t>
    <phoneticPr fontId="14" type="noConversion"/>
  </si>
  <si>
    <t>합     계</t>
    <phoneticPr fontId="14" type="noConversion"/>
  </si>
  <si>
    <t>현 금 상 세 내 역</t>
    <phoneticPr fontId="5" type="noConversion"/>
  </si>
  <si>
    <t>환전소</t>
    <phoneticPr fontId="14" type="noConversion"/>
  </si>
  <si>
    <t>현금</t>
    <phoneticPr fontId="14" type="noConversion"/>
  </si>
  <si>
    <t>USD → IDR 환전수수료</t>
    <phoneticPr fontId="14" type="noConversion"/>
  </si>
  <si>
    <r>
      <t>瑞幸咖</t>
    </r>
    <r>
      <rPr>
        <sz val="9"/>
        <rFont val="Microsoft JhengHei"/>
        <family val="3"/>
        <charset val="136"/>
      </rPr>
      <t>啡</t>
    </r>
    <phoneticPr fontId="14" type="noConversion"/>
  </si>
  <si>
    <r>
      <t>和府</t>
    </r>
    <r>
      <rPr>
        <sz val="9"/>
        <rFont val="맑은 고딕"/>
        <family val="3"/>
        <charset val="134"/>
        <scheme val="major"/>
      </rPr>
      <t>捞</t>
    </r>
    <r>
      <rPr>
        <sz val="9"/>
        <rFont val="맑은 고딕"/>
        <family val="3"/>
        <charset val="129"/>
        <scheme val="major"/>
      </rPr>
      <t>面</t>
    </r>
    <phoneticPr fontId="14" type="noConversion"/>
  </si>
  <si>
    <r>
      <t>瑞幸咖</t>
    </r>
    <r>
      <rPr>
        <sz val="9"/>
        <rFont val="새굴림"/>
        <family val="1"/>
        <charset val="129"/>
      </rPr>
      <t>啡</t>
    </r>
    <phoneticPr fontId="14" type="noConversion"/>
  </si>
  <si>
    <r>
      <rPr>
        <sz val="9"/>
        <rFont val="맑은 고딕"/>
        <family val="3"/>
        <charset val="134"/>
        <scheme val="major"/>
      </rPr>
      <t>韩满</t>
    </r>
    <r>
      <rPr>
        <sz val="9"/>
        <rFont val="맑은 고딕"/>
        <family val="3"/>
        <charset val="129"/>
        <scheme val="major"/>
      </rPr>
      <t>香餐</t>
    </r>
    <r>
      <rPr>
        <sz val="9"/>
        <rFont val="맑은 고딕"/>
        <family val="3"/>
        <charset val="134"/>
        <scheme val="major"/>
      </rPr>
      <t>饮</t>
    </r>
    <phoneticPr fontId="14" type="noConversion"/>
  </si>
  <si>
    <t>개 인 경 비 상 세 내 역</t>
    <phoneticPr fontId="5" type="noConversion"/>
  </si>
  <si>
    <t>공항버스 이용료</t>
    <phoneticPr fontId="14" type="noConversion"/>
  </si>
  <si>
    <t>공항버스</t>
  </si>
  <si>
    <t>로밍료(03.14~03.18)</t>
    <phoneticPr fontId="14" type="noConversion"/>
  </si>
  <si>
    <t>2023.03.19</t>
    <phoneticPr fontId="14" type="noConversion"/>
  </si>
  <si>
    <t>공항버스 이용료</t>
  </si>
  <si>
    <t>기타</t>
    <phoneticPr fontId="5" type="noConversion"/>
  </si>
  <si>
    <t>항공료</t>
    <phoneticPr fontId="5" type="noConversion"/>
  </si>
  <si>
    <t>숙박비</t>
    <phoneticPr fontId="5" type="noConversion"/>
  </si>
  <si>
    <t>법인카드</t>
    <phoneticPr fontId="5" type="noConversion"/>
  </si>
  <si>
    <t>구분</t>
    <phoneticPr fontId="5" type="noConversion"/>
  </si>
  <si>
    <t>반납</t>
    <phoneticPr fontId="5" type="noConversion"/>
  </si>
  <si>
    <t xml:space="preserve"> RECEIPT</t>
    <phoneticPr fontId="14" type="noConversion"/>
  </si>
  <si>
    <t>DATE:</t>
    <phoneticPr fontId="14" type="noConversion"/>
  </si>
  <si>
    <t>FROM:</t>
    <phoneticPr fontId="14" type="noConversion"/>
  </si>
  <si>
    <t>TO:</t>
    <phoneticPr fontId="14" type="noConversion"/>
  </si>
  <si>
    <t>FARE:</t>
    <phoneticPr fontId="14" type="noConversion"/>
  </si>
  <si>
    <t>TOTAL:</t>
    <phoneticPr fontId="14" type="noConversion"/>
  </si>
  <si>
    <t>MEMO:</t>
    <phoneticPr fontId="14" type="noConversion"/>
  </si>
  <si>
    <t>Signature:</t>
    <phoneticPr fontId="14" type="noConversion"/>
  </si>
  <si>
    <t>In order to receive the above amount properly 
and to make sure.</t>
    <phoneticPr fontId="14" type="noConversion"/>
  </si>
  <si>
    <t>EFH*HANSIK GAYA</t>
  </si>
  <si>
    <t>PADANG GOLF  PUPUK KUJANG</t>
  </si>
  <si>
    <t>SUBWAY DT KM 57WY35</t>
  </si>
  <si>
    <t>HOTEL AYOLA-HO</t>
  </si>
  <si>
    <t>RESTORAN MAGURO TEI MBL</t>
  </si>
  <si>
    <t>PIZZA HUT LP CIKARANG MAL</t>
  </si>
  <si>
    <t>HANABI RESTAURANT</t>
  </si>
  <si>
    <t>SUBWAY DT KM 57/WY35</t>
  </si>
  <si>
    <t>MCD LIPPO CIKARANGSOK</t>
  </si>
  <si>
    <t>MCD LIPPO CIKARANGDRIVE</t>
  </si>
  <si>
    <t>EFH*GALLERY GUEST HOUSE</t>
  </si>
  <si>
    <t>SPBU 34.17531,KM39 REST</t>
  </si>
  <si>
    <t>RESTAURANT GAMASOT</t>
  </si>
  <si>
    <t>CAFFE - IN</t>
  </si>
  <si>
    <t>AYOLA HOTEL LIPPO CIKARAN</t>
  </si>
  <si>
    <t>1) 출장내역</t>
    <phoneticPr fontId="5" type="noConversion"/>
  </si>
  <si>
    <t>▶</t>
  </si>
  <si>
    <t>분류</t>
    <phoneticPr fontId="5" type="noConversion"/>
  </si>
  <si>
    <t>내용</t>
    <phoneticPr fontId="5" type="noConversion"/>
  </si>
  <si>
    <t>식비</t>
    <phoneticPr fontId="5" type="noConversion"/>
  </si>
  <si>
    <t>중식대</t>
    <phoneticPr fontId="5" type="noConversion"/>
  </si>
  <si>
    <t>석식대</t>
    <phoneticPr fontId="5" type="noConversion"/>
  </si>
  <si>
    <t>음료</t>
    <phoneticPr fontId="5" type="noConversion"/>
  </si>
  <si>
    <t>법인카드</t>
    <phoneticPr fontId="14" type="noConversion"/>
  </si>
  <si>
    <t>렌터카</t>
    <phoneticPr fontId="5" type="noConversion"/>
  </si>
  <si>
    <t>생필품</t>
    <phoneticPr fontId="5" type="noConversion"/>
  </si>
  <si>
    <t>개인경비</t>
    <phoneticPr fontId="14" type="noConversion"/>
  </si>
  <si>
    <t>소모품비</t>
    <phoneticPr fontId="5" type="noConversion"/>
  </si>
  <si>
    <t>안전화</t>
    <phoneticPr fontId="5" type="noConversion"/>
  </si>
  <si>
    <t>공구</t>
    <phoneticPr fontId="5" type="noConversion"/>
  </si>
  <si>
    <t>사무용품</t>
    <phoneticPr fontId="5" type="noConversion"/>
  </si>
  <si>
    <t>여비교통비</t>
    <phoneticPr fontId="5" type="noConversion"/>
  </si>
  <si>
    <t>주유비</t>
    <phoneticPr fontId="5" type="noConversion"/>
  </si>
  <si>
    <t>세차비</t>
    <phoneticPr fontId="5" type="noConversion"/>
  </si>
  <si>
    <t>통행료</t>
    <phoneticPr fontId="5" type="noConversion"/>
  </si>
  <si>
    <t>주차비</t>
    <phoneticPr fontId="5" type="noConversion"/>
  </si>
  <si>
    <t>택시비</t>
    <phoneticPr fontId="5" type="noConversion"/>
  </si>
  <si>
    <t>수수료</t>
    <phoneticPr fontId="5" type="noConversion"/>
  </si>
  <si>
    <t>행정수수료</t>
    <phoneticPr fontId="5" type="noConversion"/>
  </si>
  <si>
    <t>환전수수료</t>
    <phoneticPr fontId="14" type="noConversion"/>
  </si>
  <si>
    <t>회식비</t>
    <phoneticPr fontId="5" type="noConversion"/>
  </si>
  <si>
    <t>접대비</t>
    <phoneticPr fontId="5" type="noConversion"/>
  </si>
  <si>
    <t>통신비</t>
    <phoneticPr fontId="5" type="noConversion"/>
  </si>
  <si>
    <t>로밍요금</t>
    <phoneticPr fontId="5" type="noConversion"/>
  </si>
  <si>
    <t>미국 출장 식비 한도 관련</t>
  </si>
  <si>
    <t>1일 식비 한도 $50는 팁 금액을 포함한 금액인지?</t>
  </si>
  <si>
    <t>- 포함</t>
    <phoneticPr fontId="5" type="noConversion"/>
  </si>
  <si>
    <t>식자재 구입 관련</t>
  </si>
  <si>
    <t>마트에서 식자재를 구입하여 직접 조리해 먹는 경우, 해당 비용도 식비에 포함되는지?</t>
  </si>
  <si>
    <t>마트에서 식자재 외 다른 품목도 함께 구입한 경우에는 어떻게 처리하는지?</t>
  </si>
  <si>
    <t>- 분리 결제 및 지출결의서 분리기재</t>
    <phoneticPr fontId="5" type="noConversion"/>
  </si>
  <si>
    <t>출장자 외 다른인원이 섞인경우 $50 어떤한도를 정하는지</t>
    <phoneticPr fontId="5" type="noConversion"/>
  </si>
  <si>
    <t>- 법인장,주재원,현지직원들과 먹을시 별도 결제 같이 결제시 $50 한도 적용</t>
    <phoneticPr fontId="5" type="noConversion"/>
  </si>
  <si>
    <t>접대비 제외?</t>
    <phoneticPr fontId="5" type="noConversion"/>
  </si>
  <si>
    <t>기타</t>
  </si>
  <si>
    <t>항공료</t>
  </si>
  <si>
    <t>홍길동</t>
  </si>
  <si>
    <t>홍길동, HLI유광렬 책임</t>
  </si>
  <si>
    <t>홍길동, 현대류준열 수석</t>
  </si>
  <si>
    <t>금액</t>
    <phoneticPr fontId="5" type="noConversion"/>
  </si>
  <si>
    <t>2-1출장경비 법인카드</t>
    <phoneticPr fontId="5" type="noConversion"/>
  </si>
  <si>
    <t>2-2출장경비 현금</t>
    <phoneticPr fontId="5" type="noConversion"/>
  </si>
  <si>
    <t>2-3출장경비 개인경비</t>
    <phoneticPr fontId="5" type="noConversion"/>
  </si>
  <si>
    <t>대한항공</t>
    <phoneticPr fontId="5" type="noConversion"/>
  </si>
  <si>
    <t>왕복 항공료</t>
    <phoneticPr fontId="14" type="noConversion"/>
  </si>
  <si>
    <t>수수료</t>
    <phoneticPr fontId="14" type="noConversion"/>
  </si>
  <si>
    <t>원화 환산(참고용)</t>
  </si>
  <si>
    <t>적용 환율</t>
  </si>
  <si>
    <t>비고</t>
  </si>
  <si>
    <t>본사 지급액</t>
  </si>
  <si>
    <t>(USD)</t>
    <phoneticPr fontId="5" type="noConversion"/>
  </si>
  <si>
    <t>출국일의 고시 환율</t>
    <phoneticPr fontId="5" type="noConversion"/>
  </si>
  <si>
    <t>환전 금액</t>
    <phoneticPr fontId="5" type="noConversion"/>
  </si>
  <si>
    <t>(USD → IDR)</t>
    <phoneticPr fontId="5" type="noConversion"/>
  </si>
  <si>
    <t>환전 후 총액</t>
    <phoneticPr fontId="5" type="noConversion"/>
  </si>
  <si>
    <t>(A)</t>
    <phoneticPr fontId="5" type="noConversion"/>
  </si>
  <si>
    <t>지출 총액</t>
    <phoneticPr fontId="5" type="noConversion"/>
  </si>
  <si>
    <t>(B)</t>
    <phoneticPr fontId="5" type="noConversion"/>
  </si>
  <si>
    <t>(A)-(B)</t>
    <phoneticPr fontId="5" type="noConversion"/>
  </si>
  <si>
    <t>2-1출장경비 법인카드</t>
  </si>
  <si>
    <t>2-2출장경비 현금</t>
  </si>
  <si>
    <t>2-3출장경비 개인경비</t>
  </si>
  <si>
    <t>환율표(*출국일 기준 환율)</t>
  </si>
  <si>
    <t>USD($)</t>
  </si>
  <si>
    <t>IDR(Rp)</t>
  </si>
  <si>
    <t>경영기획실 결제내역도 2-1출장경비 법인카드 내역에 포함하여 작성(인사총무파트에 요청)</t>
  </si>
  <si>
    <t>경영기획실 결제내역도 2-1출장경비 법인카드 내역에 포함하여 작성(인사총무파트에 요청)</t>
    <phoneticPr fontId="5" type="noConversion"/>
  </si>
  <si>
    <t>비고</t>
    <phoneticPr fontId="5" type="noConversion"/>
  </si>
  <si>
    <t>비고란에 사용한 카드번호 입력(ex. 0101카드 또는 경영기획실 카드)</t>
  </si>
  <si>
    <t>비고란에 사용한 카드번호 입력(ex. 0101카드 또는 경영기획실 카드)</t>
    <phoneticPr fontId="5" type="noConversion"/>
  </si>
  <si>
    <t>USD 100 → IDR 890,000 환전</t>
    <phoneticPr fontId="5" type="noConversion"/>
  </si>
  <si>
    <t>국제운전면허증 발급비</t>
    <phoneticPr fontId="14" type="noConversion"/>
  </si>
  <si>
    <t>마이뱅크</t>
    <phoneticPr fontId="5" type="noConversion"/>
  </si>
  <si>
    <t>여비교통비</t>
    <phoneticPr fontId="5" type="noConversion"/>
  </si>
  <si>
    <t>경영기획실
카드</t>
    <phoneticPr fontId="5" type="noConversion"/>
  </si>
  <si>
    <t>해외여행자보험</t>
    <phoneticPr fontId="5" type="noConversion"/>
  </si>
  <si>
    <t>해외여행자보험</t>
  </si>
  <si>
    <t>반납액(지급액)</t>
    <phoneticPr fontId="5" type="noConversion"/>
  </si>
  <si>
    <t>경기실 카드</t>
    <phoneticPr fontId="5" type="noConversion"/>
  </si>
  <si>
    <t>XXXX 카드</t>
  </si>
  <si>
    <t>XXXX 카드</t>
    <phoneticPr fontId="5" type="noConversion"/>
  </si>
  <si>
    <t>경기실 카드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</si>
</sst>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#,##0;[Red]#,##0"/>
    <numFmt numFmtId="178" formatCode="#,##0.00_);[Red]\(#,##0.00\)"/>
    <numFmt numFmtId="179" formatCode="_-* #,##0.00_-;\-* #,##0.00_-;_-* &quot;-&quot;_-;_-@_-"/>
    <numFmt numFmtId="180" formatCode="_-&quot;US$&quot;* #,##0.00_ ;_-&quot;US$&quot;* \-#,##0.00\ ;_-&quot;US$&quot;* &quot;-&quot;??_ ;_-@_ "/>
    <numFmt numFmtId="181" formatCode="&quot;₩&quot;#,##0_);[Red]\(&quot;₩&quot;#,##0\)"/>
    <numFmt numFmtId="182" formatCode="#,##0.00_ "/>
    <numFmt numFmtId="183" formatCode="\~\ yyyy/mm/dd"/>
    <numFmt numFmtId="184" formatCode="#,##0_ "/>
    <numFmt numFmtId="185" formatCode="#,##0.0000;[Red]\-#,##0.0000"/>
    <numFmt numFmtId="186" formatCode="_-* #,##0_-;\(#,##0\)_-;_-* &quot;-&quot;_-;_-@_-"/>
  </numFmts>
  <fonts count="3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b/>
      <sz val="10"/>
      <color indexed="1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sz val="28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u/>
      <sz val="2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0"/>
      <color theme="0" tint="-0.499984740745262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9"/>
      <name val="Microsoft JhengHei"/>
      <family val="3"/>
      <charset val="136"/>
    </font>
    <font>
      <sz val="9"/>
      <name val="맑은 고딕"/>
      <family val="3"/>
      <charset val="134"/>
      <scheme val="major"/>
    </font>
    <font>
      <sz val="9"/>
      <name val="새굴림"/>
      <family val="1"/>
      <charset val="129"/>
    </font>
    <font>
      <b/>
      <sz val="20"/>
      <color theme="1"/>
      <name val="HY견고딕"/>
      <family val="1"/>
      <charset val="129"/>
    </font>
    <font>
      <b/>
      <sz val="2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178" fontId="6" fillId="0" borderId="0" xfId="0" applyNumberFormat="1" applyFont="1">
      <alignment vertical="center"/>
    </xf>
    <xf numFmtId="178" fontId="6" fillId="2" borderId="1" xfId="0" applyNumberFormat="1" applyFont="1" applyFill="1" applyBorder="1" applyAlignment="1">
      <alignment horizontal="center" vertical="center"/>
    </xf>
    <xf numFmtId="43" fontId="6" fillId="0" borderId="0" xfId="0" applyNumberFormat="1" applyFont="1">
      <alignment vertical="center"/>
    </xf>
    <xf numFmtId="0" fontId="6" fillId="0" borderId="0" xfId="0" applyFont="1" applyAlignment="1">
      <alignment horizontal="center" vertical="center"/>
    </xf>
    <xf numFmtId="177" fontId="6" fillId="0" borderId="0" xfId="1" applyNumberFormat="1" applyFont="1" applyBorder="1" applyAlignment="1">
      <alignment horizontal="right" vertical="center"/>
    </xf>
    <xf numFmtId="178" fontId="6" fillId="0" borderId="0" xfId="1" applyNumberFormat="1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178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181" fontId="6" fillId="0" borderId="0" xfId="0" applyNumberFormat="1" applyFont="1" applyAlignment="1">
      <alignment horizontal="center" vertical="center"/>
    </xf>
    <xf numFmtId="182" fontId="6" fillId="0" borderId="0" xfId="0" applyNumberFormat="1" applyFont="1" applyAlignment="1">
      <alignment horizontal="center" vertical="center"/>
    </xf>
    <xf numFmtId="176" fontId="6" fillId="0" borderId="0" xfId="0" applyNumberFormat="1" applyFont="1">
      <alignment vertical="center"/>
    </xf>
    <xf numFmtId="178" fontId="6" fillId="0" borderId="0" xfId="0" applyNumberFormat="1" applyFont="1" applyAlignment="1">
      <alignment horizontal="center" vertical="center"/>
    </xf>
    <xf numFmtId="42" fontId="7" fillId="0" borderId="0" xfId="2" applyFont="1" applyBorder="1" applyAlignment="1">
      <alignment horizontal="right" vertical="center"/>
    </xf>
    <xf numFmtId="178" fontId="7" fillId="0" borderId="0" xfId="0" applyNumberFormat="1" applyFont="1" applyAlignment="1">
      <alignment horizontal="center" vertical="center"/>
    </xf>
    <xf numFmtId="178" fontId="7" fillId="0" borderId="0" xfId="0" applyNumberFormat="1" applyFont="1" applyAlignment="1">
      <alignment horizontal="right" vertical="center"/>
    </xf>
    <xf numFmtId="180" fontId="6" fillId="0" borderId="0" xfId="0" applyNumberFormat="1" applyFont="1">
      <alignment vertical="center"/>
    </xf>
    <xf numFmtId="3" fontId="8" fillId="0" borderId="0" xfId="0" applyNumberFormat="1" applyFont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41" fontId="6" fillId="0" borderId="1" xfId="1" applyFont="1" applyFill="1" applyBorder="1" applyAlignment="1">
      <alignment horizontal="right" vertical="center"/>
    </xf>
    <xf numFmtId="41" fontId="6" fillId="2" borderId="1" xfId="1" applyFont="1" applyFill="1" applyBorder="1" applyAlignment="1">
      <alignment horizontal="right" vertical="center"/>
    </xf>
    <xf numFmtId="177" fontId="6" fillId="2" borderId="1" xfId="1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41" fontId="6" fillId="0" borderId="1" xfId="1" applyFont="1" applyBorder="1" applyAlignment="1">
      <alignment horizontal="left" vertical="center"/>
    </xf>
    <xf numFmtId="41" fontId="6" fillId="0" borderId="1" xfId="1" applyFont="1" applyFill="1" applyBorder="1" applyAlignment="1">
      <alignment horizontal="center" vertical="center"/>
    </xf>
    <xf numFmtId="181" fontId="6" fillId="0" borderId="0" xfId="2" applyNumberFormat="1" applyFont="1" applyAlignment="1">
      <alignment vertical="center"/>
    </xf>
    <xf numFmtId="42" fontId="7" fillId="0" borderId="0" xfId="2" applyFont="1" applyBorder="1" applyAlignment="1">
      <alignment vertical="center"/>
    </xf>
    <xf numFmtId="181" fontId="7" fillId="0" borderId="0" xfId="0" applyNumberFormat="1" applyFont="1">
      <alignment vertical="center"/>
    </xf>
    <xf numFmtId="181" fontId="8" fillId="0" borderId="0" xfId="0" applyNumberFormat="1" applyFont="1">
      <alignment vertical="center"/>
    </xf>
    <xf numFmtId="181" fontId="7" fillId="0" borderId="0" xfId="2" applyNumberFormat="1" applyFont="1" applyBorder="1" applyAlignment="1">
      <alignment vertical="center"/>
    </xf>
    <xf numFmtId="181" fontId="6" fillId="0" borderId="0" xfId="2" applyNumberFormat="1" applyFont="1" applyBorder="1" applyAlignment="1">
      <alignment vertical="center"/>
    </xf>
    <xf numFmtId="176" fontId="6" fillId="0" borderId="0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41" fontId="6" fillId="0" borderId="1" xfId="1" applyFont="1" applyBorder="1" applyAlignment="1">
      <alignment vertical="center"/>
    </xf>
    <xf numFmtId="41" fontId="6" fillId="0" borderId="1" xfId="0" applyNumberFormat="1" applyFont="1" applyBorder="1" applyAlignment="1">
      <alignment horizontal="center" vertical="center"/>
    </xf>
    <xf numFmtId="41" fontId="6" fillId="3" borderId="1" xfId="0" applyNumberFormat="1" applyFont="1" applyFill="1" applyBorder="1" applyAlignment="1">
      <alignment horizontal="center" vertical="center"/>
    </xf>
    <xf numFmtId="41" fontId="6" fillId="0" borderId="0" xfId="0" applyNumberFormat="1" applyFont="1" applyAlignment="1">
      <alignment horizontal="center" vertical="center"/>
    </xf>
    <xf numFmtId="178" fontId="6" fillId="0" borderId="0" xfId="1" applyNumberFormat="1" applyFont="1" applyFill="1" applyBorder="1" applyAlignment="1">
      <alignment horizontal="right" vertical="center"/>
    </xf>
    <xf numFmtId="14" fontId="6" fillId="0" borderId="3" xfId="0" applyNumberFormat="1" applyFont="1" applyBorder="1" applyAlignment="1">
      <alignment horizontal="center" vertical="center"/>
    </xf>
    <xf numFmtId="183" fontId="6" fillId="0" borderId="4" xfId="0" applyNumberFormat="1" applyFont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1" fillId="0" borderId="0" xfId="3" applyFont="1" applyAlignment="1">
      <alignment horizontal="center" vertical="center"/>
    </xf>
    <xf numFmtId="41" fontId="11" fillId="0" borderId="0" xfId="4" applyFont="1" applyFill="1" applyBorder="1" applyAlignment="1">
      <alignment horizontal="center" vertical="center"/>
    </xf>
    <xf numFmtId="0" fontId="12" fillId="0" borderId="0" xfId="5" applyFont="1">
      <alignment vertical="center"/>
    </xf>
    <xf numFmtId="0" fontId="16" fillId="0" borderId="0" xfId="5" applyFont="1" applyAlignment="1">
      <alignment horizontal="center" vertical="center"/>
    </xf>
    <xf numFmtId="0" fontId="16" fillId="0" borderId="0" xfId="5" applyFont="1">
      <alignment vertical="center"/>
    </xf>
    <xf numFmtId="0" fontId="17" fillId="0" borderId="0" xfId="3" applyFont="1" applyAlignment="1">
      <alignment horizontal="left" vertical="center"/>
    </xf>
    <xf numFmtId="0" fontId="19" fillId="4" borderId="1" xfId="3" applyFont="1" applyFill="1" applyBorder="1" applyAlignment="1">
      <alignment horizontal="center" vertical="center"/>
    </xf>
    <xf numFmtId="14" fontId="20" fillId="0" borderId="1" xfId="3" applyNumberFormat="1" applyFont="1" applyBorder="1" applyAlignment="1">
      <alignment horizontal="center" vertical="center"/>
    </xf>
    <xf numFmtId="41" fontId="21" fillId="0" borderId="1" xfId="4" applyFont="1" applyBorder="1" applyAlignment="1">
      <alignment vertical="center"/>
    </xf>
    <xf numFmtId="14" fontId="21" fillId="0" borderId="1" xfId="3" applyNumberFormat="1" applyFont="1" applyBorder="1" applyAlignment="1">
      <alignment horizontal="center" vertical="center" shrinkToFit="1"/>
    </xf>
    <xf numFmtId="0" fontId="20" fillId="0" borderId="1" xfId="3" applyFont="1" applyBorder="1" applyAlignment="1">
      <alignment horizontal="center" vertical="center"/>
    </xf>
    <xf numFmtId="184" fontId="20" fillId="0" borderId="1" xfId="4" applyNumberFormat="1" applyFont="1" applyFill="1" applyBorder="1" applyAlignment="1">
      <alignment horizontal="center" vertical="center"/>
    </xf>
    <xf numFmtId="41" fontId="20" fillId="5" borderId="1" xfId="4" applyFont="1" applyFill="1" applyBorder="1" applyAlignment="1">
      <alignment horizontal="center" vertical="center"/>
    </xf>
    <xf numFmtId="179" fontId="20" fillId="5" borderId="1" xfId="4" applyNumberFormat="1" applyFont="1" applyFill="1" applyBorder="1" applyAlignment="1">
      <alignment vertical="center" shrinkToFit="1"/>
    </xf>
    <xf numFmtId="184" fontId="20" fillId="0" borderId="1" xfId="4" applyNumberFormat="1" applyFont="1" applyFill="1" applyBorder="1" applyAlignment="1">
      <alignment horizontal="center" vertical="center" shrinkToFit="1"/>
    </xf>
    <xf numFmtId="41" fontId="21" fillId="0" borderId="1" xfId="4" applyFont="1" applyBorder="1" applyAlignment="1">
      <alignment horizontal="center" vertical="center"/>
    </xf>
    <xf numFmtId="41" fontId="20" fillId="0" borderId="1" xfId="4" applyFont="1" applyBorder="1" applyAlignment="1">
      <alignment horizontal="center" vertical="center"/>
    </xf>
    <xf numFmtId="179" fontId="20" fillId="0" borderId="1" xfId="4" applyNumberFormat="1" applyFont="1" applyFill="1" applyBorder="1" applyAlignment="1">
      <alignment vertical="center" shrinkToFit="1"/>
    </xf>
    <xf numFmtId="41" fontId="20" fillId="0" borderId="1" xfId="4" applyFont="1" applyFill="1" applyBorder="1" applyAlignment="1">
      <alignment horizontal="center" vertical="center"/>
    </xf>
    <xf numFmtId="0" fontId="18" fillId="4" borderId="1" xfId="3" applyFont="1" applyFill="1" applyBorder="1" applyAlignment="1">
      <alignment horizontal="center" vertical="center"/>
    </xf>
    <xf numFmtId="41" fontId="18" fillId="4" borderId="1" xfId="4" applyFont="1" applyFill="1" applyBorder="1" applyAlignment="1">
      <alignment horizontal="center" vertical="center"/>
    </xf>
    <xf numFmtId="179" fontId="18" fillId="4" borderId="1" xfId="4" applyNumberFormat="1" applyFont="1" applyFill="1" applyBorder="1" applyAlignment="1">
      <alignment horizontal="center" vertical="center"/>
    </xf>
    <xf numFmtId="184" fontId="18" fillId="4" borderId="1" xfId="3" applyNumberFormat="1" applyFont="1" applyFill="1" applyBorder="1" applyAlignment="1">
      <alignment vertical="center" shrinkToFit="1"/>
    </xf>
    <xf numFmtId="0" fontId="22" fillId="0" borderId="0" xfId="5" applyFont="1">
      <alignment vertical="center"/>
    </xf>
    <xf numFmtId="41" fontId="12" fillId="0" borderId="0" xfId="4" applyFont="1" applyFill="1">
      <alignment vertical="center"/>
    </xf>
    <xf numFmtId="14" fontId="21" fillId="0" borderId="1" xfId="3" applyNumberFormat="1" applyFont="1" applyBorder="1" applyAlignment="1">
      <alignment horizontal="center" vertical="center"/>
    </xf>
    <xf numFmtId="179" fontId="20" fillId="5" borderId="1" xfId="4" applyNumberFormat="1" applyFont="1" applyFill="1" applyBorder="1" applyAlignment="1">
      <alignment horizontal="center" vertical="center"/>
    </xf>
    <xf numFmtId="0" fontId="21" fillId="0" borderId="1" xfId="3" applyFont="1" applyBorder="1" applyAlignment="1">
      <alignment horizontal="center" vertical="center"/>
    </xf>
    <xf numFmtId="179" fontId="20" fillId="0" borderId="1" xfId="4" applyNumberFormat="1" applyFont="1" applyBorder="1" applyAlignment="1">
      <alignment horizontal="center" vertical="center"/>
    </xf>
    <xf numFmtId="0" fontId="3" fillId="0" borderId="0" xfId="5">
      <alignment vertical="center"/>
    </xf>
    <xf numFmtId="0" fontId="27" fillId="0" borderId="15" xfId="5" applyFont="1" applyBorder="1" applyAlignment="1">
      <alignment horizontal="center" vertical="center"/>
    </xf>
    <xf numFmtId="0" fontId="27" fillId="0" borderId="0" xfId="5" applyFont="1" applyAlignment="1">
      <alignment horizontal="center" vertical="center"/>
    </xf>
    <xf numFmtId="0" fontId="27" fillId="0" borderId="16" xfId="5" applyFont="1" applyBorder="1" applyAlignment="1">
      <alignment horizontal="center" vertical="center"/>
    </xf>
    <xf numFmtId="0" fontId="28" fillId="0" borderId="15" xfId="5" applyFont="1" applyBorder="1">
      <alignment vertical="center"/>
    </xf>
    <xf numFmtId="0" fontId="3" fillId="0" borderId="17" xfId="5" applyBorder="1">
      <alignment vertical="center"/>
    </xf>
    <xf numFmtId="0" fontId="3" fillId="0" borderId="16" xfId="5" applyBorder="1">
      <alignment vertical="center"/>
    </xf>
    <xf numFmtId="0" fontId="29" fillId="0" borderId="15" xfId="5" applyFont="1" applyBorder="1">
      <alignment vertical="center"/>
    </xf>
    <xf numFmtId="0" fontId="29" fillId="0" borderId="0" xfId="5" applyFont="1">
      <alignment vertical="center"/>
    </xf>
    <xf numFmtId="0" fontId="30" fillId="0" borderId="0" xfId="5" applyFont="1" applyAlignment="1">
      <alignment horizontal="right" vertical="center"/>
    </xf>
    <xf numFmtId="0" fontId="3" fillId="0" borderId="2" xfId="5" applyBorder="1">
      <alignment vertical="center"/>
    </xf>
    <xf numFmtId="0" fontId="3" fillId="0" borderId="15" xfId="5" applyBorder="1">
      <alignment vertical="center"/>
    </xf>
    <xf numFmtId="14" fontId="3" fillId="0" borderId="17" xfId="5" applyNumberFormat="1" applyBorder="1">
      <alignment vertical="center"/>
    </xf>
    <xf numFmtId="0" fontId="32" fillId="0" borderId="11" xfId="6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1" fillId="0" borderId="20" xfId="6" applyFont="1" applyBorder="1" applyAlignment="1">
      <alignment horizontal="center" vertical="center"/>
    </xf>
    <xf numFmtId="0" fontId="11" fillId="0" borderId="0" xfId="6" applyFont="1" applyAlignment="1">
      <alignment horizontal="center" vertical="center"/>
    </xf>
    <xf numFmtId="3" fontId="11" fillId="0" borderId="0" xfId="6" applyNumberFormat="1" applyFont="1" applyAlignment="1">
      <alignment horizontal="center" vertical="center"/>
    </xf>
    <xf numFmtId="0" fontId="11" fillId="0" borderId="20" xfId="3" applyFont="1" applyBorder="1" applyAlignment="1">
      <alignment horizontal="center" vertical="center"/>
    </xf>
    <xf numFmtId="0" fontId="11" fillId="0" borderId="0" xfId="3" quotePrefix="1" applyFont="1" applyAlignment="1">
      <alignment vertical="center"/>
    </xf>
    <xf numFmtId="41" fontId="6" fillId="0" borderId="0" xfId="0" applyNumberFormat="1" applyFont="1">
      <alignment vertical="center"/>
    </xf>
    <xf numFmtId="49" fontId="6" fillId="2" borderId="1" xfId="5" applyNumberFormat="1" applyFont="1" applyFill="1" applyBorder="1" applyAlignment="1">
      <alignment horizontal="center" vertical="center"/>
    </xf>
    <xf numFmtId="178" fontId="6" fillId="2" borderId="1" xfId="5" applyNumberFormat="1" applyFont="1" applyFill="1" applyBorder="1" applyAlignment="1">
      <alignment horizontal="center" vertical="center"/>
    </xf>
    <xf numFmtId="0" fontId="6" fillId="2" borderId="3" xfId="5" applyFont="1" applyFill="1" applyBorder="1">
      <alignment vertical="center"/>
    </xf>
    <xf numFmtId="0" fontId="6" fillId="2" borderId="4" xfId="5" applyFont="1" applyFill="1" applyBorder="1">
      <alignment vertical="center"/>
    </xf>
    <xf numFmtId="40" fontId="6" fillId="0" borderId="1" xfId="7" applyNumberFormat="1" applyFont="1" applyBorder="1" applyAlignment="1">
      <alignment vertical="center"/>
    </xf>
    <xf numFmtId="38" fontId="6" fillId="0" borderId="1" xfId="7" applyNumberFormat="1" applyFont="1" applyBorder="1" applyAlignment="1">
      <alignment horizontal="center" vertical="center"/>
    </xf>
    <xf numFmtId="185" fontId="6" fillId="0" borderId="1" xfId="7" applyNumberFormat="1" applyFont="1" applyBorder="1" applyAlignment="1">
      <alignment vertical="center"/>
    </xf>
    <xf numFmtId="38" fontId="6" fillId="0" borderId="1" xfId="7" applyNumberFormat="1" applyFont="1" applyBorder="1" applyAlignment="1">
      <alignment vertical="center"/>
    </xf>
    <xf numFmtId="179" fontId="6" fillId="0" borderId="1" xfId="1" applyNumberFormat="1" applyFont="1" applyBorder="1" applyAlignment="1">
      <alignment vertical="center"/>
    </xf>
    <xf numFmtId="0" fontId="32" fillId="0" borderId="2" xfId="6" applyFont="1" applyBorder="1" applyAlignment="1">
      <alignment horizontal="center" vertical="center"/>
    </xf>
    <xf numFmtId="0" fontId="1" fillId="0" borderId="17" xfId="5" applyFont="1" applyBorder="1">
      <alignment vertical="center"/>
    </xf>
    <xf numFmtId="41" fontId="12" fillId="0" borderId="0" xfId="5" applyNumberFormat="1" applyFont="1">
      <alignment vertical="center"/>
    </xf>
    <xf numFmtId="184" fontId="20" fillId="0" borderId="1" xfId="4" applyNumberFormat="1" applyFont="1" applyFill="1" applyBorder="1" applyAlignment="1">
      <alignment horizontal="center" vertical="center" wrapText="1"/>
    </xf>
    <xf numFmtId="0" fontId="9" fillId="0" borderId="0" xfId="3" applyFont="1" applyAlignment="1">
      <alignment horizontal="center" vertical="center" wrapText="1"/>
    </xf>
    <xf numFmtId="0" fontId="18" fillId="4" borderId="1" xfId="3" applyFont="1" applyFill="1" applyBorder="1" applyAlignment="1">
      <alignment horizontal="center" vertical="center" wrapText="1"/>
    </xf>
    <xf numFmtId="0" fontId="12" fillId="0" borderId="0" xfId="5" applyFont="1" applyAlignment="1">
      <alignment vertical="center" wrapText="1"/>
    </xf>
    <xf numFmtId="0" fontId="11" fillId="0" borderId="0" xfId="6" applyFont="1">
      <alignment vertical="center"/>
    </xf>
    <xf numFmtId="0" fontId="32" fillId="0" borderId="10" xfId="6" applyFont="1" applyBorder="1" applyAlignment="1">
      <alignment horizontal="center" vertical="center"/>
    </xf>
    <xf numFmtId="0" fontId="11" fillId="0" borderId="2" xfId="6" applyFont="1" applyBorder="1" applyAlignment="1">
      <alignment horizontal="center" vertical="center"/>
    </xf>
    <xf numFmtId="3" fontId="11" fillId="0" borderId="2" xfId="6" applyNumberFormat="1" applyFont="1" applyBorder="1" applyAlignment="1">
      <alignment horizontal="center" vertical="center"/>
    </xf>
    <xf numFmtId="0" fontId="11" fillId="0" borderId="2" xfId="3" applyFont="1" applyBorder="1" applyAlignment="1">
      <alignment horizontal="center" vertical="center"/>
    </xf>
    <xf numFmtId="186" fontId="6" fillId="0" borderId="1" xfId="1" applyNumberFormat="1" applyFont="1" applyBorder="1" applyAlignment="1">
      <alignment vertical="center"/>
    </xf>
    <xf numFmtId="0" fontId="33" fillId="6" borderId="0" xfId="0" applyFont="1" applyFill="1" applyAlignment="1">
      <alignment horizontal="left" vertical="center"/>
    </xf>
    <xf numFmtId="176" fontId="33" fillId="6" borderId="0" xfId="0" applyNumberFormat="1" applyFont="1" applyFill="1" applyAlignment="1">
      <alignment horizontal="left" vertical="center"/>
    </xf>
    <xf numFmtId="4" fontId="33" fillId="6" borderId="0" xfId="0" applyNumberFormat="1" applyFont="1" applyFill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8" fontId="6" fillId="0" borderId="3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5" applyFont="1" applyFill="1" applyBorder="1" applyAlignment="1">
      <alignment horizontal="center" vertical="center"/>
    </xf>
    <xf numFmtId="0" fontId="6" fillId="2" borderId="4" xfId="5" applyFont="1" applyFill="1" applyBorder="1" applyAlignment="1">
      <alignment horizontal="center" vertical="center"/>
    </xf>
    <xf numFmtId="41" fontId="6" fillId="0" borderId="1" xfId="0" applyNumberFormat="1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6" fillId="0" borderId="5" xfId="0" applyNumberFormat="1" applyFont="1" applyBorder="1" applyAlignment="1">
      <alignment horizontal="center" vertical="center"/>
    </xf>
    <xf numFmtId="184" fontId="20" fillId="0" borderId="3" xfId="4" applyNumberFormat="1" applyFont="1" applyFill="1" applyBorder="1" applyAlignment="1">
      <alignment horizontal="center" vertical="center"/>
    </xf>
    <xf numFmtId="184" fontId="20" fillId="0" borderId="4" xfId="4" applyNumberFormat="1" applyFont="1" applyFill="1" applyBorder="1" applyAlignment="1">
      <alignment horizontal="center" vertical="center"/>
    </xf>
    <xf numFmtId="0" fontId="18" fillId="4" borderId="3" xfId="3" applyFont="1" applyFill="1" applyBorder="1" applyAlignment="1">
      <alignment horizontal="center" vertical="center"/>
    </xf>
    <xf numFmtId="0" fontId="18" fillId="4" borderId="5" xfId="3" applyFont="1" applyFill="1" applyBorder="1" applyAlignment="1">
      <alignment horizontal="center" vertical="center"/>
    </xf>
    <xf numFmtId="0" fontId="18" fillId="4" borderId="4" xfId="3" applyFont="1" applyFill="1" applyBorder="1" applyAlignment="1">
      <alignment horizontal="center" vertical="center"/>
    </xf>
    <xf numFmtId="184" fontId="18" fillId="4" borderId="3" xfId="3" applyNumberFormat="1" applyFont="1" applyFill="1" applyBorder="1" applyAlignment="1">
      <alignment horizontal="center" vertical="center"/>
    </xf>
    <xf numFmtId="184" fontId="18" fillId="4" borderId="4" xfId="3" applyNumberFormat="1" applyFont="1" applyFill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6" fillId="4" borderId="6" xfId="3" applyFont="1" applyFill="1" applyBorder="1" applyAlignment="1">
      <alignment horizontal="center" vertical="center"/>
    </xf>
    <xf numFmtId="0" fontId="6" fillId="4" borderId="9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9" xfId="3" applyFont="1" applyFill="1" applyBorder="1" applyAlignment="1">
      <alignment horizontal="center" vertical="center"/>
    </xf>
    <xf numFmtId="0" fontId="6" fillId="4" borderId="6" xfId="3" applyFont="1" applyFill="1" applyBorder="1" applyAlignment="1">
      <alignment horizontal="center" vertical="center" wrapText="1"/>
    </xf>
    <xf numFmtId="0" fontId="6" fillId="4" borderId="9" xfId="3" applyFont="1" applyFill="1" applyBorder="1" applyAlignment="1">
      <alignment horizontal="center" vertical="center" wrapText="1"/>
    </xf>
    <xf numFmtId="0" fontId="6" fillId="4" borderId="7" xfId="3" applyFont="1" applyFill="1" applyBorder="1" applyAlignment="1">
      <alignment horizontal="center" vertical="center"/>
    </xf>
    <xf numFmtId="0" fontId="6" fillId="4" borderId="8" xfId="3" applyFont="1" applyFill="1" applyBorder="1" applyAlignment="1">
      <alignment horizontal="center" vertical="center"/>
    </xf>
    <xf numFmtId="0" fontId="6" fillId="4" borderId="10" xfId="3" applyFont="1" applyFill="1" applyBorder="1" applyAlignment="1">
      <alignment horizontal="center" vertical="center"/>
    </xf>
    <xf numFmtId="0" fontId="6" fillId="4" borderId="11" xfId="3" applyFont="1" applyFill="1" applyBorder="1" applyAlignment="1">
      <alignment horizontal="center" vertical="center"/>
    </xf>
    <xf numFmtId="41" fontId="6" fillId="4" borderId="6" xfId="4" applyFont="1" applyFill="1" applyBorder="1" applyAlignment="1">
      <alignment horizontal="center" vertical="center" wrapText="1"/>
    </xf>
    <xf numFmtId="41" fontId="6" fillId="4" borderId="9" xfId="4" applyFont="1" applyFill="1" applyBorder="1" applyAlignment="1">
      <alignment horizontal="center" vertical="center" wrapText="1"/>
    </xf>
    <xf numFmtId="184" fontId="20" fillId="5" borderId="3" xfId="4" applyNumberFormat="1" applyFont="1" applyFill="1" applyBorder="1" applyAlignment="1">
      <alignment horizontal="center" vertical="center"/>
    </xf>
    <xf numFmtId="184" fontId="20" fillId="5" borderId="4" xfId="4" applyNumberFormat="1" applyFont="1" applyFill="1" applyBorder="1" applyAlignment="1">
      <alignment horizontal="center" vertical="center"/>
    </xf>
    <xf numFmtId="0" fontId="18" fillId="4" borderId="1" xfId="3" applyFont="1" applyFill="1" applyBorder="1" applyAlignment="1">
      <alignment horizontal="center" vertical="center"/>
    </xf>
    <xf numFmtId="184" fontId="18" fillId="4" borderId="1" xfId="3" applyNumberFormat="1" applyFont="1" applyFill="1" applyBorder="1" applyAlignment="1">
      <alignment horizontal="center" vertical="center"/>
    </xf>
    <xf numFmtId="184" fontId="20" fillId="5" borderId="1" xfId="4" applyNumberFormat="1" applyFont="1" applyFill="1" applyBorder="1" applyAlignment="1">
      <alignment horizontal="center" vertical="center"/>
    </xf>
    <xf numFmtId="184" fontId="20" fillId="0" borderId="1" xfId="4" applyNumberFormat="1" applyFont="1" applyFill="1" applyBorder="1" applyAlignment="1">
      <alignment horizontal="center" vertical="center"/>
    </xf>
    <xf numFmtId="0" fontId="6" fillId="4" borderId="1" xfId="3" applyFont="1" applyFill="1" applyBorder="1" applyAlignment="1">
      <alignment horizontal="center" vertical="center"/>
    </xf>
    <xf numFmtId="0" fontId="31" fillId="0" borderId="15" xfId="5" applyFont="1" applyBorder="1" applyAlignment="1">
      <alignment horizontal="center" vertical="top" wrapText="1"/>
    </xf>
    <xf numFmtId="0" fontId="31" fillId="0" borderId="0" xfId="5" applyFont="1" applyAlignment="1">
      <alignment horizontal="center" vertical="top"/>
    </xf>
    <xf numFmtId="0" fontId="31" fillId="0" borderId="16" xfId="5" applyFont="1" applyBorder="1" applyAlignment="1">
      <alignment horizontal="center" vertical="top"/>
    </xf>
    <xf numFmtId="0" fontId="31" fillId="0" borderId="15" xfId="5" applyFont="1" applyBorder="1" applyAlignment="1">
      <alignment horizontal="center" vertical="top"/>
    </xf>
    <xf numFmtId="0" fontId="31" fillId="0" borderId="18" xfId="5" applyFont="1" applyBorder="1" applyAlignment="1">
      <alignment horizontal="center" vertical="top"/>
    </xf>
    <xf numFmtId="0" fontId="31" fillId="0" borderId="17" xfId="5" applyFont="1" applyBorder="1" applyAlignment="1">
      <alignment horizontal="center" vertical="top"/>
    </xf>
    <xf numFmtId="0" fontId="31" fillId="0" borderId="19" xfId="5" applyFont="1" applyBorder="1" applyAlignment="1">
      <alignment horizontal="center" vertical="top"/>
    </xf>
    <xf numFmtId="0" fontId="26" fillId="0" borderId="12" xfId="5" applyFont="1" applyBorder="1" applyAlignment="1">
      <alignment horizontal="center" vertical="center"/>
    </xf>
    <xf numFmtId="0" fontId="27" fillId="0" borderId="13" xfId="5" applyFont="1" applyBorder="1" applyAlignment="1">
      <alignment horizontal="center" vertical="center"/>
    </xf>
    <xf numFmtId="0" fontId="27" fillId="0" borderId="14" xfId="5" applyFont="1" applyBorder="1" applyAlignment="1">
      <alignment horizontal="center" vertical="center"/>
    </xf>
    <xf numFmtId="0" fontId="27" fillId="0" borderId="15" xfId="5" applyFont="1" applyBorder="1" applyAlignment="1">
      <alignment horizontal="center" vertical="center"/>
    </xf>
    <xf numFmtId="0" fontId="27" fillId="0" borderId="0" xfId="5" applyFont="1" applyAlignment="1">
      <alignment horizontal="center" vertical="center"/>
    </xf>
    <xf numFmtId="0" fontId="27" fillId="0" borderId="16" xfId="5" applyFont="1" applyBorder="1" applyAlignment="1">
      <alignment horizontal="center" vertical="center"/>
    </xf>
    <xf numFmtId="0" fontId="6" fillId="6" borderId="6" xfId="3" applyFont="1" applyFill="1" applyBorder="1" applyAlignment="1">
      <alignment horizontal="center" vertical="center"/>
    </xf>
    <xf numFmtId="0" fontId="18" fillId="6" borderId="6" xfId="3" applyFont="1" applyFill="1" applyBorder="1" applyAlignment="1">
      <alignment horizontal="center" vertical="center"/>
    </xf>
    <xf numFmtId="0" fontId="6" fillId="6" borderId="9" xfId="3" applyFont="1" applyFill="1" applyBorder="1" applyAlignment="1">
      <alignment horizontal="center" vertical="center"/>
    </xf>
    <xf numFmtId="0" fontId="18" fillId="6" borderId="9" xfId="3" applyFont="1" applyFill="1" applyBorder="1" applyAlignment="1">
      <alignment horizontal="center" vertical="center"/>
    </xf>
    <xf numFmtId="0" fontId="6" fillId="6" borderId="3" xfId="3" applyFont="1" applyFill="1" applyBorder="1" applyAlignment="1">
      <alignment horizontal="center" vertical="center"/>
    </xf>
    <xf numFmtId="0" fontId="6" fillId="6" borderId="4" xfId="3" applyFont="1" applyFill="1" applyBorder="1" applyAlignment="1">
      <alignment horizontal="center" vertical="center"/>
    </xf>
  </cellXfs>
  <cellStyles count="8">
    <cellStyle name="쉼표 [0]" xfId="1" builtinId="6"/>
    <cellStyle name="쉼표 [0] 2" xfId="4" xr:uid="{55BA287C-A586-43BA-A10A-66D58C25B3E2}"/>
    <cellStyle name="쉼표 [0] 3" xfId="7" xr:uid="{03EC2A4B-51E1-4531-942D-E60D32178768}"/>
    <cellStyle name="통화 [0]" xfId="2" builtinId="7"/>
    <cellStyle name="표준" xfId="0" builtinId="0"/>
    <cellStyle name="표준 2" xfId="3" xr:uid="{60562B8C-C6D8-4C6C-ABED-49A8D27E0202}"/>
    <cellStyle name="표준 3" xfId="5" xr:uid="{3E1C697B-C118-4092-9CBF-EF4522DF26DC}"/>
    <cellStyle name="표준 4" xfId="6" xr:uid="{D2F8DC0D-FBE5-4AE4-9772-7AE5132E3B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15323</xdr:colOff>
      <xdr:row>32</xdr:row>
      <xdr:rowOff>25391</xdr:rowOff>
    </xdr:from>
    <xdr:to>
      <xdr:col>6</xdr:col>
      <xdr:colOff>1028701</xdr:colOff>
      <xdr:row>39</xdr:row>
      <xdr:rowOff>57978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85E5BD51-4564-40A6-94BF-7A4885442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373" y="8626466"/>
          <a:ext cx="6766478" cy="14232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30256</xdr:colOff>
      <xdr:row>36</xdr:row>
      <xdr:rowOff>15012</xdr:rowOff>
    </xdr:from>
    <xdr:to>
      <xdr:col>7</xdr:col>
      <xdr:colOff>1285875</xdr:colOff>
      <xdr:row>43</xdr:row>
      <xdr:rowOff>170213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E9A3195-350E-4232-B6D9-37F85DED2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306" y="9244737"/>
          <a:ext cx="7446869" cy="15553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107950</xdr:colOff>
      <xdr:row>1</xdr:row>
      <xdr:rowOff>10584</xdr:rowOff>
    </xdr:from>
    <xdr:ext cx="2159001" cy="765174"/>
    <xdr:pic>
      <xdr:nvPicPr>
        <xdr:cNvPr id="2" name="그림 5" descr="YHS LOGO-Black_7x11.6.wmf">
          <a:extLst>
            <a:ext uri="{FF2B5EF4-FFF2-40B4-BE49-F238E27FC236}">
              <a16:creationId xmlns:a16="http://schemas.microsoft.com/office/drawing/2014/main" id="{B645EB17-4A92-4FB2-B66E-EDCA333E1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950" y="72497"/>
          <a:ext cx="2159001" cy="7651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107950</xdr:colOff>
      <xdr:row>1</xdr:row>
      <xdr:rowOff>10584</xdr:rowOff>
    </xdr:from>
    <xdr:ext cx="2159001" cy="765174"/>
    <xdr:pic>
      <xdr:nvPicPr>
        <xdr:cNvPr id="2" name="그림 5" descr="YHS LOGO-Black_7x11.6.wmf">
          <a:extLst>
            <a:ext uri="{FF2B5EF4-FFF2-40B4-BE49-F238E27FC236}">
              <a16:creationId xmlns:a16="http://schemas.microsoft.com/office/drawing/2014/main" id="{5DA6E24F-46EF-41EE-B36C-F29BEE4EA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950" y="72497"/>
          <a:ext cx="2159001" cy="7651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107950</xdr:colOff>
      <xdr:row>1</xdr:row>
      <xdr:rowOff>10584</xdr:rowOff>
    </xdr:from>
    <xdr:ext cx="2159001" cy="765174"/>
    <xdr:pic>
      <xdr:nvPicPr>
        <xdr:cNvPr id="2" name="그림 5" descr="YHS LOGO-Black_7x11.6.wmf">
          <a:extLst>
            <a:ext uri="{FF2B5EF4-FFF2-40B4-BE49-F238E27FC236}">
              <a16:creationId xmlns:a16="http://schemas.microsoft.com/office/drawing/2014/main" id="{C9184AF1-8DBB-426F-904E-3E629E89D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950" y="72497"/>
          <a:ext cx="2159001" cy="7651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333375</xdr:colOff>
      <xdr:row>17</xdr:row>
      <xdr:rowOff>57150</xdr:rowOff>
    </xdr:from>
    <xdr:ext cx="2133599" cy="533400"/>
    <xdr:pic>
      <xdr:nvPicPr>
        <xdr:cNvPr id="2" name="그림 1">
          <a:extLst>
            <a:ext uri="{FF2B5EF4-FFF2-40B4-BE49-F238E27FC236}">
              <a16:creationId xmlns:a16="http://schemas.microsoft.com/office/drawing/2014/main" id="{6D6A7FBF-CDD7-4642-A5F7-81455CCA1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5475" y="4895850"/>
          <a:ext cx="2133599" cy="533400"/>
        </a:xfrm>
        <a:prstGeom prst="rect">
          <a:avLst/>
        </a:prstGeom>
      </xdr:spPr>
    </xdr:pic>
    <xdr:clientData/>
  </xdr:oneCellAnchor>
  <xdr:twoCellAnchor editAs="oneCell">
    <xdr:from>
      <xdr:col>2</xdr:col>
      <xdr:colOff>266700</xdr:colOff>
      <xdr:row>17</xdr:row>
      <xdr:rowOff>133350</xdr:rowOff>
    </xdr:from>
    <xdr:to>
      <xdr:col>5</xdr:col>
      <xdr:colOff>152399</xdr:colOff>
      <xdr:row>20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E278EEC-B0A9-43D0-822A-851B263BA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950" y="4972050"/>
          <a:ext cx="2133599" cy="547688"/>
        </a:xfrm>
        <a:prstGeom prst="rect">
          <a:avLst/>
        </a:prstGeom>
      </xdr:spPr>
    </xdr:pic>
    <xdr:clientData/>
  </xdr:twoCellAnchor>
  <xdr:oneCellAnchor>
    <xdr:from>
      <xdr:col>2</xdr:col>
      <xdr:colOff>266700</xdr:colOff>
      <xdr:row>38</xdr:row>
      <xdr:rowOff>133350</xdr:rowOff>
    </xdr:from>
    <xdr:ext cx="2133599" cy="533400"/>
    <xdr:pic>
      <xdr:nvPicPr>
        <xdr:cNvPr id="4" name="그림 3">
          <a:extLst>
            <a:ext uri="{FF2B5EF4-FFF2-40B4-BE49-F238E27FC236}">
              <a16:creationId xmlns:a16="http://schemas.microsoft.com/office/drawing/2014/main" id="{1D782C3B-2BD3-46C7-B0F5-CC87F49E4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950" y="10944225"/>
          <a:ext cx="2133599" cy="533400"/>
        </a:xfrm>
        <a:prstGeom prst="rect">
          <a:avLst/>
        </a:prstGeom>
      </xdr:spPr>
    </xdr:pic>
    <xdr:clientData/>
  </xdr:oneCellAnchor>
  <xdr:oneCellAnchor>
    <xdr:from>
      <xdr:col>9</xdr:col>
      <xdr:colOff>425450</xdr:colOff>
      <xdr:row>38</xdr:row>
      <xdr:rowOff>117475</xdr:rowOff>
    </xdr:from>
    <xdr:ext cx="2133599" cy="533400"/>
    <xdr:pic>
      <xdr:nvPicPr>
        <xdr:cNvPr id="5" name="그림 4">
          <a:extLst>
            <a:ext uri="{FF2B5EF4-FFF2-40B4-BE49-F238E27FC236}">
              <a16:creationId xmlns:a16="http://schemas.microsoft.com/office/drawing/2014/main" id="{88207298-DF1B-4169-AC98-9CEC2CB4C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7550" y="10928350"/>
          <a:ext cx="2133599" cy="533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640F-23D8-4763-9A02-A40037C34826}">
  <sheetPr>
    <tabColor rgb="FFFFFF00"/>
    <pageSetUpPr fitToPage="1"/>
  </sheetPr>
  <dimension ref="A1:P58"/>
  <sheetViews>
    <sheetView showGridLines="0" view="pageBreakPreview" topLeftCell="A2" zoomScaleNormal="85" zoomScaleSheetLayoutView="100" workbookViewId="0">
      <selection activeCell="D6" sqref="D6:G10"/>
    </sheetView>
  </sheetViews>
  <sheetFormatPr defaultColWidth="8.88671875" defaultRowHeight="16.149999999999999" customHeight="1" outlineLevelRow="1" outlineLevelCol="1"/>
  <cols>
    <col min="1" max="1" width="4.6640625" style="2" customWidth="1"/>
    <col min="2" max="2" width="15.5546875" style="2" customWidth="1"/>
    <col min="3" max="4" width="13.109375" style="2" customWidth="1"/>
    <col min="5" max="5" width="13.109375" style="3" customWidth="1"/>
    <col min="6" max="7" width="12.21875" style="3" customWidth="1"/>
    <col min="8" max="9" width="15.109375" style="3" customWidth="1" outlineLevel="1"/>
    <col min="10" max="10" width="11.88671875" style="2" customWidth="1" outlineLevel="1"/>
    <col min="11" max="13" width="8.88671875" style="2" customWidth="1"/>
    <col min="14" max="16384" width="8.88671875" style="2"/>
  </cols>
  <sheetData>
    <row r="1" spans="1:10" ht="16.149999999999999" hidden="1" customHeight="1" outlineLevel="1">
      <c r="C1" s="2" t="s">
        <v>159</v>
      </c>
      <c r="D1" s="2" t="s">
        <v>160</v>
      </c>
      <c r="E1" s="3" t="s">
        <v>161</v>
      </c>
    </row>
    <row r="2" spans="1:10" ht="16.149999999999999" customHeight="1" collapsed="1"/>
    <row r="3" spans="1:10" ht="16.149999999999999" customHeight="1">
      <c r="J3" s="3"/>
    </row>
    <row r="4" spans="1:10" ht="22.5" customHeight="1">
      <c r="B4" s="11" t="s">
        <v>26</v>
      </c>
      <c r="C4" s="11"/>
      <c r="D4" s="11"/>
      <c r="E4" s="11"/>
      <c r="F4" s="11"/>
      <c r="G4" s="11"/>
      <c r="H4" s="120" t="s">
        <v>19</v>
      </c>
      <c r="I4" s="120"/>
    </row>
    <row r="5" spans="1:10" ht="22.5" customHeight="1">
      <c r="A5" s="11"/>
      <c r="B5" s="11" t="s">
        <v>114</v>
      </c>
      <c r="C5" s="11"/>
      <c r="D5" s="11"/>
      <c r="E5" s="11"/>
      <c r="F5" s="11"/>
      <c r="G5" s="11"/>
      <c r="H5" s="121" t="s">
        <v>0</v>
      </c>
      <c r="I5" s="122">
        <v>1470</v>
      </c>
      <c r="J5" s="120"/>
    </row>
    <row r="6" spans="1:10" ht="22.5" customHeight="1">
      <c r="A6" s="11"/>
      <c r="B6" s="123" t="s">
        <v>20</v>
      </c>
      <c r="C6" s="123"/>
      <c r="D6" s="124" t="s">
        <v>23</v>
      </c>
      <c r="E6" s="125"/>
      <c r="F6" s="125"/>
      <c r="G6" s="126"/>
      <c r="H6" s="121" t="s">
        <v>1</v>
      </c>
      <c r="I6" s="122">
        <v>0.09</v>
      </c>
      <c r="J6" s="120"/>
    </row>
    <row r="7" spans="1:10" ht="22.5" customHeight="1">
      <c r="A7" s="11"/>
      <c r="B7" s="123" t="s">
        <v>18</v>
      </c>
      <c r="C7" s="123"/>
      <c r="D7" s="44">
        <v>45870</v>
      </c>
      <c r="E7" s="45">
        <v>45930</v>
      </c>
      <c r="F7" s="127" t="str">
        <f>E7-D7&amp;"박 "&amp;E7-D7+1&amp;"일"</f>
        <v>60박 61일</v>
      </c>
      <c r="G7" s="128"/>
      <c r="H7" s="11"/>
      <c r="I7" s="2"/>
    </row>
    <row r="8" spans="1:10" ht="22.5" customHeight="1">
      <c r="B8" s="123" t="s">
        <v>22</v>
      </c>
      <c r="C8" s="123"/>
      <c r="D8" s="124" t="s">
        <v>27</v>
      </c>
      <c r="E8" s="125"/>
      <c r="F8" s="125"/>
      <c r="G8" s="126"/>
      <c r="H8" s="11"/>
      <c r="I8" s="2"/>
    </row>
    <row r="9" spans="1:10" ht="22.5" customHeight="1">
      <c r="B9" s="123" t="s">
        <v>21</v>
      </c>
      <c r="C9" s="123"/>
      <c r="D9" s="124" t="s">
        <v>24</v>
      </c>
      <c r="E9" s="125"/>
      <c r="F9" s="125"/>
      <c r="G9" s="126"/>
      <c r="H9" s="11"/>
      <c r="I9" s="2"/>
    </row>
    <row r="10" spans="1:10" ht="22.5" customHeight="1">
      <c r="H10" s="11"/>
    </row>
    <row r="11" spans="1:10" ht="22.5" customHeight="1">
      <c r="B11" s="2" t="s">
        <v>16</v>
      </c>
      <c r="E11" s="2"/>
      <c r="F11" s="2"/>
      <c r="G11" s="2"/>
      <c r="H11" s="11"/>
      <c r="I11" s="2"/>
    </row>
    <row r="12" spans="1:10" ht="22.5" customHeight="1">
      <c r="B12" s="26" t="s">
        <v>17</v>
      </c>
      <c r="C12" s="131" t="s">
        <v>14</v>
      </c>
      <c r="D12" s="132"/>
      <c r="E12" s="133"/>
      <c r="F12" s="129" t="s">
        <v>25</v>
      </c>
      <c r="G12" s="129" t="s">
        <v>186</v>
      </c>
      <c r="H12" s="2"/>
      <c r="I12" s="2"/>
    </row>
    <row r="13" spans="1:10" ht="22.5" customHeight="1">
      <c r="B13" s="26" t="s">
        <v>12</v>
      </c>
      <c r="C13" s="22" t="s">
        <v>33</v>
      </c>
      <c r="D13" s="22" t="s">
        <v>13</v>
      </c>
      <c r="E13" s="22" t="s">
        <v>29</v>
      </c>
      <c r="F13" s="130"/>
      <c r="G13" s="130"/>
      <c r="H13" s="2"/>
      <c r="I13" s="2"/>
    </row>
    <row r="14" spans="1:10" ht="22.5" customHeight="1">
      <c r="B14" s="27" t="s">
        <v>85</v>
      </c>
      <c r="C14" s="28">
        <f ca="1">SUMIFS(INDIRECT("'"&amp;C$1&amp;"'!L:l"),INDIRECT("'"&amp;C$1&amp;"'!d:d"),'출장비 정산(원화지급원화회수)'!$B14)</f>
        <v>500000</v>
      </c>
      <c r="D14" s="28">
        <f ca="1">SUMIFS(INDIRECT("'"&amp;D$1&amp;"'!L:l"),INDIRECT("'"&amp;D$1&amp;"'!d:d"),'출장비 정산(원화지급원화회수)'!$B14)</f>
        <v>0</v>
      </c>
      <c r="E14" s="28">
        <f ca="1">SUMIFS(INDIRECT("'"&amp;E$1&amp;"'!L:l"),INDIRECT("'"&amp;E$1&amp;"'!d:d"),'출장비 정산(원화지급원화회수)'!$B14)</f>
        <v>0</v>
      </c>
      <c r="F14" s="40">
        <f ca="1">SUM(C14:E14)</f>
        <v>500000</v>
      </c>
      <c r="G14" s="38" t="s">
        <v>197</v>
      </c>
      <c r="H14" s="42" t="s">
        <v>115</v>
      </c>
      <c r="I14" s="97" t="s">
        <v>185</v>
      </c>
    </row>
    <row r="15" spans="1:10" ht="22.5" customHeight="1">
      <c r="B15" s="27" t="s">
        <v>86</v>
      </c>
      <c r="C15" s="23">
        <f ca="1">SUMIFS(INDIRECT("'"&amp;C$1&amp;"'!L:l"),INDIRECT("'"&amp;C$1&amp;"'!d:d"),'출장비 정산(원화지급원화회수)'!$B15)</f>
        <v>0</v>
      </c>
      <c r="D15" s="23">
        <f ca="1">SUMIFS(INDIRECT("'"&amp;D$1&amp;"'!L:l"),INDIRECT("'"&amp;D$1&amp;"'!d:d"),'출장비 정산(원화지급원화회수)'!$B15)</f>
        <v>0</v>
      </c>
      <c r="E15" s="23">
        <f ca="1">SUMIFS(INDIRECT("'"&amp;E$1&amp;"'!L:l"),INDIRECT("'"&amp;E$1&amp;"'!d:d"),'출장비 정산(원화지급원화회수)'!$B15)</f>
        <v>0</v>
      </c>
      <c r="F15" s="40">
        <f t="shared" ref="F15:F27" ca="1" si="0">SUM(C15:E15)</f>
        <v>0</v>
      </c>
      <c r="G15" s="38" t="s">
        <v>200</v>
      </c>
      <c r="H15" s="42" t="s">
        <v>115</v>
      </c>
      <c r="I15" s="97" t="s">
        <v>184</v>
      </c>
    </row>
    <row r="16" spans="1:10" ht="22.5" customHeight="1">
      <c r="B16" s="27" t="s">
        <v>2</v>
      </c>
      <c r="C16" s="23">
        <f ca="1">SUMIFS(INDIRECT("'"&amp;C$1&amp;"'!L:l"),INDIRECT("'"&amp;C$1&amp;"'!d:d"),'출장비 정산(원화지급원화회수)'!$B16)</f>
        <v>0</v>
      </c>
      <c r="D16" s="23">
        <f ca="1">SUMIFS(INDIRECT("'"&amp;D$1&amp;"'!L:l"),INDIRECT("'"&amp;D$1&amp;"'!d:d"),'출장비 정산(원화지급원화회수)'!$B16)</f>
        <v>0</v>
      </c>
      <c r="E16" s="23">
        <f ca="1">SUMIFS(INDIRECT("'"&amp;E$1&amp;"'!L:l"),INDIRECT("'"&amp;E$1&amp;"'!d:d"),'출장비 정산(원화지급원화회수)'!$B16)</f>
        <v>0</v>
      </c>
      <c r="F16" s="40">
        <f t="shared" ca="1" si="0"/>
        <v>0</v>
      </c>
      <c r="G16" s="38"/>
    </row>
    <row r="17" spans="2:12" ht="22.5" customHeight="1">
      <c r="B17" s="27" t="s">
        <v>3</v>
      </c>
      <c r="C17" s="23">
        <f ca="1">SUMIFS(INDIRECT("'"&amp;C$1&amp;"'!L:l"),INDIRECT("'"&amp;C$1&amp;"'!d:d"),'출장비 정산(원화지급원화회수)'!$B17)</f>
        <v>114410</v>
      </c>
      <c r="D17" s="23">
        <f ca="1">SUMIFS(INDIRECT("'"&amp;D$1&amp;"'!L:l"),INDIRECT("'"&amp;D$1&amp;"'!d:d"),'출장비 정산(원화지급원화회수)'!$B17)</f>
        <v>0</v>
      </c>
      <c r="E17" s="23">
        <f ca="1">SUMIFS(INDIRECT("'"&amp;E$1&amp;"'!L:l"),INDIRECT("'"&amp;E$1&amp;"'!d:d"),'출장비 정산(원화지급원화회수)'!$B17)</f>
        <v>36000</v>
      </c>
      <c r="F17" s="40">
        <f t="shared" ca="1" si="0"/>
        <v>150410</v>
      </c>
      <c r="G17" s="38"/>
      <c r="H17" s="42"/>
      <c r="I17" s="42"/>
    </row>
    <row r="18" spans="2:12" ht="22.5" customHeight="1">
      <c r="B18" s="27" t="s">
        <v>4</v>
      </c>
      <c r="C18" s="23">
        <f ca="1">SUMIFS(INDIRECT("'"&amp;C$1&amp;"'!L:l"),INDIRECT("'"&amp;C$1&amp;"'!d:d"),'출장비 정산(원화지급원화회수)'!$B18)</f>
        <v>664054</v>
      </c>
      <c r="D18" s="23">
        <f ca="1">SUMIFS(INDIRECT("'"&amp;D$1&amp;"'!L:l"),INDIRECT("'"&amp;D$1&amp;"'!d:d"),'출장비 정산(원화지급원화회수)'!$B18)</f>
        <v>279561</v>
      </c>
      <c r="E18" s="23">
        <f ca="1">SUMIFS(INDIRECT("'"&amp;E$1&amp;"'!L:l"),INDIRECT("'"&amp;E$1&amp;"'!d:d"),'출장비 정산(원화지급원화회수)'!$B18)</f>
        <v>0</v>
      </c>
      <c r="F18" s="40">
        <f t="shared" ca="1" si="0"/>
        <v>943615</v>
      </c>
      <c r="G18" s="40"/>
      <c r="H18" s="42" t="s">
        <v>115</v>
      </c>
      <c r="I18" s="97" t="s">
        <v>188</v>
      </c>
    </row>
    <row r="19" spans="2:12" ht="22.5" customHeight="1">
      <c r="B19" s="27" t="s">
        <v>5</v>
      </c>
      <c r="C19" s="23">
        <f ca="1">SUMIFS(INDIRECT("'"&amp;C$1&amp;"'!L:l"),INDIRECT("'"&amp;C$1&amp;"'!d:d"),'출장비 정산(원화지급원화회수)'!$B19)</f>
        <v>0</v>
      </c>
      <c r="D19" s="23">
        <f ca="1">SUMIFS(INDIRECT("'"&amp;D$1&amp;"'!L:l"),INDIRECT("'"&amp;D$1&amp;"'!d:d"),'출장비 정산(원화지급원화회수)'!$B19)</f>
        <v>0</v>
      </c>
      <c r="E19" s="23">
        <f ca="1">SUMIFS(INDIRECT("'"&amp;E$1&amp;"'!L:l"),INDIRECT("'"&amp;E$1&amp;"'!d:d"),'출장비 정산(원화지급원화회수)'!$B19)</f>
        <v>0</v>
      </c>
      <c r="F19" s="40">
        <f t="shared" ca="1" si="0"/>
        <v>0</v>
      </c>
      <c r="G19" s="40"/>
      <c r="H19" s="2"/>
      <c r="I19" s="2"/>
    </row>
    <row r="20" spans="2:12" ht="22.5" customHeight="1">
      <c r="B20" s="27" t="s">
        <v>6</v>
      </c>
      <c r="C20" s="23">
        <f ca="1">SUMIFS(INDIRECT("'"&amp;C$1&amp;"'!L:l"),INDIRECT("'"&amp;C$1&amp;"'!d:d"),'출장비 정산(원화지급원화회수)'!$B20)</f>
        <v>551795</v>
      </c>
      <c r="D20" s="23">
        <f ca="1">SUMIFS(INDIRECT("'"&amp;D$1&amp;"'!L:l"),INDIRECT("'"&amp;D$1&amp;"'!d:d"),'출장비 정산(원화지급원화회수)'!$B20)</f>
        <v>57600</v>
      </c>
      <c r="E20" s="23">
        <f ca="1">SUMIFS(INDIRECT("'"&amp;E$1&amp;"'!L:l"),INDIRECT("'"&amp;E$1&amp;"'!d:d"),'출장비 정산(원화지급원화회수)'!$B20)</f>
        <v>0</v>
      </c>
      <c r="F20" s="40">
        <f t="shared" ca="1" si="0"/>
        <v>609395</v>
      </c>
      <c r="G20" s="40"/>
      <c r="H20" s="2"/>
      <c r="I20" s="2"/>
    </row>
    <row r="21" spans="2:12" ht="22.5" customHeight="1">
      <c r="B21" s="27" t="s">
        <v>7</v>
      </c>
      <c r="C21" s="23">
        <f ca="1">SUMIFS(INDIRECT("'"&amp;C$1&amp;"'!L:l"),INDIRECT("'"&amp;C$1&amp;"'!d:d"),'출장비 정산(원화지급원화회수)'!$B21)</f>
        <v>0</v>
      </c>
      <c r="D21" s="23">
        <f ca="1">SUMIFS(INDIRECT("'"&amp;D$1&amp;"'!L:l"),INDIRECT("'"&amp;D$1&amp;"'!d:d"),'출장비 정산(원화지급원화회수)'!$B21)</f>
        <v>0</v>
      </c>
      <c r="E21" s="23">
        <f ca="1">SUMIFS(INDIRECT("'"&amp;E$1&amp;"'!L:l"),INDIRECT("'"&amp;E$1&amp;"'!d:d"),'출장비 정산(원화지급원화회수)'!$B21)</f>
        <v>0</v>
      </c>
      <c r="F21" s="40">
        <f t="shared" ca="1" si="0"/>
        <v>0</v>
      </c>
      <c r="G21" s="40"/>
      <c r="H21" s="2"/>
      <c r="I21" s="2"/>
    </row>
    <row r="22" spans="2:12" ht="22.5" customHeight="1">
      <c r="B22" s="27" t="s">
        <v>8</v>
      </c>
      <c r="C22" s="23">
        <f ca="1">SUMIFS(INDIRECT("'"&amp;C$1&amp;"'!L:l"),INDIRECT("'"&amp;C$1&amp;"'!d:d"),'출장비 정산(원화지급원화회수)'!$B22)</f>
        <v>0</v>
      </c>
      <c r="D22" s="23">
        <f ca="1">SUMIFS(INDIRECT("'"&amp;D$1&amp;"'!L:l"),INDIRECT("'"&amp;D$1&amp;"'!d:d"),'출장비 정산(원화지급원화회수)'!$B22)</f>
        <v>0</v>
      </c>
      <c r="E22" s="23">
        <f ca="1">SUMIFS(INDIRECT("'"&amp;E$1&amp;"'!L:l"),INDIRECT("'"&amp;E$1&amp;"'!d:d"),'출장비 정산(원화지급원화회수)'!$B22)</f>
        <v>0</v>
      </c>
      <c r="F22" s="40">
        <f t="shared" ca="1" si="0"/>
        <v>0</v>
      </c>
      <c r="G22" s="40"/>
      <c r="H22" s="2"/>
      <c r="I22" s="2"/>
    </row>
    <row r="23" spans="2:12" ht="22.5" customHeight="1">
      <c r="B23" s="27" t="s">
        <v>10</v>
      </c>
      <c r="C23" s="23">
        <f ca="1">SUMIFS(INDIRECT("'"&amp;C$1&amp;"'!L:l"),INDIRECT("'"&amp;C$1&amp;"'!d:d"),'출장비 정산(원화지급원화회수)'!$B23)</f>
        <v>0</v>
      </c>
      <c r="D23" s="23">
        <f ca="1">SUMIFS(INDIRECT("'"&amp;D$1&amp;"'!L:l"),INDIRECT("'"&amp;D$1&amp;"'!d:d"),'출장비 정산(원화지급원화회수)'!$B23)</f>
        <v>0</v>
      </c>
      <c r="E23" s="23">
        <f ca="1">SUMIFS(INDIRECT("'"&amp;E$1&amp;"'!L:l"),INDIRECT("'"&amp;E$1&amp;"'!d:d"),'출장비 정산(원화지급원화회수)'!$B23)</f>
        <v>18000</v>
      </c>
      <c r="F23" s="40">
        <f t="shared" ca="1" si="0"/>
        <v>18000</v>
      </c>
      <c r="G23" s="40"/>
      <c r="H23" s="2"/>
      <c r="I23" s="2"/>
    </row>
    <row r="24" spans="2:12" ht="22.5" customHeight="1">
      <c r="B24" s="27" t="s">
        <v>11</v>
      </c>
      <c r="C24" s="23">
        <f ca="1">SUMIFS(INDIRECT("'"&amp;C$1&amp;"'!L:l"),INDIRECT("'"&amp;C$1&amp;"'!d:d"),'출장비 정산(원화지급원화회수)'!$B24)</f>
        <v>0</v>
      </c>
      <c r="D24" s="23">
        <f ca="1">SUMIFS(INDIRECT("'"&amp;D$1&amp;"'!L:l"),INDIRECT("'"&amp;D$1&amp;"'!d:d"),'출장비 정산(원화지급원화회수)'!$B24)</f>
        <v>0</v>
      </c>
      <c r="E24" s="23">
        <f ca="1">SUMIFS(INDIRECT("'"&amp;E$1&amp;"'!L:l"),INDIRECT("'"&amp;E$1&amp;"'!d:d"),'출장비 정산(원화지급원화회수)'!$B24)</f>
        <v>0</v>
      </c>
      <c r="F24" s="40">
        <f t="shared" ca="1" si="0"/>
        <v>0</v>
      </c>
      <c r="G24" s="40"/>
      <c r="H24" s="2"/>
      <c r="I24" s="2"/>
    </row>
    <row r="25" spans="2:12" ht="22.5" customHeight="1">
      <c r="B25" s="27" t="s">
        <v>9</v>
      </c>
      <c r="C25" s="23">
        <f ca="1">SUMIFS(INDIRECT("'"&amp;C$1&amp;"'!L:l"),INDIRECT("'"&amp;C$1&amp;"'!d:d"),'출장비 정산(원화지급원화회수)'!$B25)</f>
        <v>0</v>
      </c>
      <c r="D25" s="23">
        <f ca="1">SUMIFS(INDIRECT("'"&amp;D$1&amp;"'!L:l"),INDIRECT("'"&amp;D$1&amp;"'!d:d"),'출장비 정산(원화지급원화회수)'!$B25)</f>
        <v>14700</v>
      </c>
      <c r="E25" s="23">
        <f ca="1">SUMIFS(INDIRECT("'"&amp;E$1&amp;"'!L:l"),INDIRECT("'"&amp;E$1&amp;"'!d:d"),'출장비 정산(원화지급원화회수)'!$B25)</f>
        <v>0</v>
      </c>
      <c r="F25" s="40">
        <f t="shared" ref="F25" ca="1" si="1">SUM(C25:E25)</f>
        <v>14700</v>
      </c>
      <c r="G25" s="40"/>
      <c r="H25" s="2"/>
      <c r="I25" s="2"/>
    </row>
    <row r="26" spans="2:12" ht="22.5" customHeight="1">
      <c r="B26" s="27" t="s">
        <v>84</v>
      </c>
      <c r="C26" s="23">
        <f ca="1">SUMIFS(INDIRECT("'"&amp;C$1&amp;"'!L:l"),INDIRECT("'"&amp;C$1&amp;"'!d:d"),'출장비 정산(원화지급원화회수)'!$B26)</f>
        <v>0</v>
      </c>
      <c r="D26" s="23">
        <f ca="1">SUMIFS(INDIRECT("'"&amp;D$1&amp;"'!L:l"),INDIRECT("'"&amp;D$1&amp;"'!d:d"),'출장비 정산(원화지급원화회수)'!$B26)</f>
        <v>0</v>
      </c>
      <c r="E26" s="23">
        <f ca="1">SUMIFS(INDIRECT("'"&amp;E$1&amp;"'!L:l"),INDIRECT("'"&amp;E$1&amp;"'!d:d"),'출장비 정산(원화지급원화회수)'!$B26)</f>
        <v>0</v>
      </c>
      <c r="F26" s="40">
        <f t="shared" ca="1" si="0"/>
        <v>0</v>
      </c>
      <c r="G26" s="40"/>
      <c r="H26" s="2"/>
      <c r="I26" s="2"/>
    </row>
    <row r="27" spans="2:12" ht="22.5" customHeight="1">
      <c r="B27" s="26" t="s">
        <v>15</v>
      </c>
      <c r="C27" s="24">
        <f ca="1">SUM(C14:C26)</f>
        <v>1830259</v>
      </c>
      <c r="D27" s="24">
        <f ca="1">SUM(D14:D26)</f>
        <v>351861</v>
      </c>
      <c r="E27" s="24">
        <f ca="1">SUM(E14:E26)</f>
        <v>54000</v>
      </c>
      <c r="F27" s="24">
        <f t="shared" ca="1" si="0"/>
        <v>2236120</v>
      </c>
      <c r="G27" s="40" t="s">
        <v>198</v>
      </c>
      <c r="H27" s="97" t="b">
        <f ca="1">'2-1출장경비 법인카드'!L31=C27</f>
        <v>1</v>
      </c>
      <c r="I27" s="2" t="b">
        <f ca="1">D27='2-2출장경비 현금'!L14</f>
        <v>1</v>
      </c>
      <c r="J27" s="2" t="b">
        <f ca="1">E27='2-3출장경비 개인경비'!L12</f>
        <v>1</v>
      </c>
    </row>
    <row r="28" spans="2:12" ht="22.5" customHeight="1">
      <c r="B28" s="6"/>
      <c r="C28" s="7"/>
      <c r="D28" s="7"/>
      <c r="E28" s="8"/>
      <c r="F28" s="8"/>
      <c r="G28" s="43"/>
      <c r="H28" s="8"/>
      <c r="I28" s="8"/>
      <c r="J28" s="1"/>
      <c r="L28" s="5"/>
    </row>
    <row r="29" spans="2:12" ht="22.5" customHeight="1">
      <c r="B29" s="2" t="s">
        <v>30</v>
      </c>
    </row>
    <row r="30" spans="2:12" ht="22.5" customHeight="1">
      <c r="B30" s="134" t="s">
        <v>12</v>
      </c>
      <c r="C30" s="134"/>
      <c r="D30" s="22" t="s">
        <v>31</v>
      </c>
      <c r="E30" s="22" t="s">
        <v>32</v>
      </c>
      <c r="F30" s="4" t="s">
        <v>29</v>
      </c>
      <c r="G30" s="4" t="s">
        <v>196</v>
      </c>
      <c r="H30" s="2"/>
      <c r="I30" s="2"/>
    </row>
    <row r="31" spans="2:12" ht="22.5" customHeight="1">
      <c r="B31" s="134" t="s">
        <v>158</v>
      </c>
      <c r="C31" s="134"/>
      <c r="D31" s="39">
        <v>700000</v>
      </c>
      <c r="E31" s="39">
        <f ca="1">D27</f>
        <v>351861</v>
      </c>
      <c r="F31" s="39">
        <f ca="1">E27</f>
        <v>54000</v>
      </c>
      <c r="G31" s="119">
        <f ca="1">D31-E31-F31</f>
        <v>294139</v>
      </c>
      <c r="H31" s="2"/>
      <c r="I31" s="2"/>
    </row>
    <row r="32" spans="2:12" ht="16.149999999999999" customHeight="1">
      <c r="B32" s="6"/>
      <c r="C32" s="35"/>
      <c r="D32" s="35"/>
      <c r="E32" s="36"/>
      <c r="F32" s="36"/>
      <c r="G32" s="36"/>
      <c r="H32" s="36"/>
      <c r="I32" s="36"/>
    </row>
    <row r="33" spans="2:16" s="9" customFormat="1" ht="16.149999999999999" customHeight="1">
      <c r="B33" s="2"/>
      <c r="C33" s="2"/>
      <c r="D33" s="2"/>
      <c r="E33" s="10"/>
      <c r="F33" s="12"/>
      <c r="G33" s="12"/>
    </row>
    <row r="34" spans="2:16" ht="15.6" customHeight="1">
      <c r="E34" s="32"/>
      <c r="F34" s="32"/>
      <c r="G34" s="32"/>
    </row>
    <row r="35" spans="2:16" ht="16.149999999999999" customHeight="1">
      <c r="E35" s="32"/>
      <c r="F35" s="32"/>
      <c r="G35" s="32"/>
      <c r="L35" s="6"/>
    </row>
    <row r="36" spans="2:16" ht="16.149999999999999" customHeight="1">
      <c r="E36" s="32"/>
      <c r="F36" s="32"/>
      <c r="G36" s="32"/>
      <c r="H36" s="2"/>
      <c r="I36" s="2"/>
      <c r="L36" s="6"/>
    </row>
    <row r="37" spans="2:16" ht="16.149999999999999" customHeight="1">
      <c r="E37" s="31"/>
      <c r="F37" s="31"/>
      <c r="G37" s="31"/>
      <c r="H37" s="2"/>
      <c r="I37" s="2"/>
    </row>
    <row r="38" spans="2:16" ht="16.149999999999999" customHeight="1">
      <c r="E38" s="31"/>
      <c r="F38" s="31"/>
      <c r="G38" s="31"/>
      <c r="H38" s="2"/>
      <c r="I38" s="2"/>
    </row>
    <row r="39" spans="2:16" ht="16.149999999999999" customHeight="1">
      <c r="E39" s="13"/>
      <c r="F39" s="13"/>
      <c r="G39" s="13"/>
      <c r="H39" s="2"/>
      <c r="I39" s="2"/>
    </row>
    <row r="40" spans="2:16" ht="16.149999999999999" customHeight="1">
      <c r="E40" s="32"/>
      <c r="F40" s="32"/>
      <c r="G40" s="32"/>
      <c r="H40" s="2"/>
      <c r="I40" s="29"/>
      <c r="O40" s="6"/>
      <c r="P40" s="14"/>
    </row>
    <row r="41" spans="2:16" ht="16.149999999999999" customHeight="1">
      <c r="E41" s="2"/>
      <c r="F41" s="2"/>
      <c r="G41" s="2"/>
      <c r="H41" s="2"/>
      <c r="I41" s="34"/>
      <c r="O41" s="3"/>
      <c r="P41" s="3"/>
    </row>
    <row r="42" spans="2:16" ht="16.149999999999999" customHeight="1">
      <c r="E42" s="32"/>
      <c r="F42" s="32"/>
      <c r="G42" s="32"/>
      <c r="H42" s="2"/>
      <c r="I42" s="34"/>
      <c r="O42" s="3"/>
    </row>
    <row r="43" spans="2:16" ht="16.149999999999999" customHeight="1">
      <c r="E43" s="31"/>
      <c r="F43" s="31"/>
      <c r="G43" s="31"/>
      <c r="H43" s="2"/>
      <c r="I43" s="33"/>
      <c r="O43" s="3"/>
      <c r="P43" s="15"/>
    </row>
    <row r="44" spans="2:16" ht="16.149999999999999" customHeight="1">
      <c r="E44" s="16"/>
      <c r="F44" s="16"/>
      <c r="G44" s="16"/>
      <c r="H44" s="2"/>
      <c r="I44" s="17"/>
      <c r="O44" s="3"/>
      <c r="P44" s="3"/>
    </row>
    <row r="45" spans="2:16" ht="16.149999999999999" customHeight="1">
      <c r="E45" s="18"/>
      <c r="F45" s="19"/>
      <c r="G45" s="19"/>
      <c r="H45" s="2"/>
      <c r="I45" s="30"/>
      <c r="O45" s="3"/>
      <c r="P45" s="3"/>
    </row>
    <row r="46" spans="2:16" ht="16.149999999999999" customHeight="1">
      <c r="E46" s="2"/>
      <c r="F46" s="2"/>
      <c r="G46" s="2"/>
      <c r="H46" s="2"/>
      <c r="I46" s="2"/>
      <c r="O46" s="3"/>
      <c r="P46" s="3"/>
    </row>
    <row r="47" spans="2:16" ht="16.149999999999999" customHeight="1">
      <c r="E47" s="2"/>
      <c r="F47" s="2"/>
      <c r="G47" s="2"/>
      <c r="H47" s="2"/>
      <c r="I47" s="2"/>
      <c r="O47" s="20"/>
      <c r="P47" s="21"/>
    </row>
    <row r="48" spans="2:16" ht="16.149999999999999" customHeight="1">
      <c r="F48" s="2"/>
      <c r="G48" s="2"/>
      <c r="H48" s="20"/>
      <c r="I48" s="2"/>
    </row>
    <row r="49" spans="6:9" ht="16.149999999999999" customHeight="1">
      <c r="H49" s="2"/>
      <c r="I49" s="2"/>
    </row>
    <row r="58" spans="6:9" ht="16.149999999999999" customHeight="1">
      <c r="F58" s="2"/>
      <c r="G58" s="2"/>
    </row>
  </sheetData>
  <mergeCells count="13">
    <mergeCell ref="G12:G13"/>
    <mergeCell ref="C12:E12"/>
    <mergeCell ref="F12:F13"/>
    <mergeCell ref="B31:C31"/>
    <mergeCell ref="B30:C30"/>
    <mergeCell ref="B6:C6"/>
    <mergeCell ref="D6:G6"/>
    <mergeCell ref="D9:G9"/>
    <mergeCell ref="D8:G8"/>
    <mergeCell ref="F7:G7"/>
    <mergeCell ref="B7:C7"/>
    <mergeCell ref="B8:C8"/>
    <mergeCell ref="B9:C9"/>
  </mergeCells>
  <phoneticPr fontId="5" type="noConversion"/>
  <printOptions horizontalCentered="1"/>
  <pageMargins left="0" right="0" top="0.19685039370078741" bottom="0.19685039370078741" header="0" footer="0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86442-F108-4540-A5B7-B6DE941F1E41}">
  <sheetPr>
    <pageSetUpPr fitToPage="1"/>
  </sheetPr>
  <dimension ref="A1:S52"/>
  <sheetViews>
    <sheetView showGridLines="0" view="pageBreakPreview" topLeftCell="A2" zoomScaleNormal="70" zoomScaleSheetLayoutView="100" workbookViewId="0">
      <selection activeCell="A2" sqref="A2"/>
    </sheetView>
  </sheetViews>
  <sheetFormatPr defaultColWidth="8.88671875" defaultRowHeight="16.149999999999999" customHeight="1" outlineLevelRow="1" outlineLevelCol="1"/>
  <cols>
    <col min="1" max="1" width="4.6640625" style="2" customWidth="1"/>
    <col min="2" max="4" width="12.21875" style="2" customWidth="1"/>
    <col min="5" max="6" width="12.21875" style="3" customWidth="1"/>
    <col min="7" max="7" width="11.109375" style="3" customWidth="1"/>
    <col min="8" max="8" width="15.21875" style="3" customWidth="1"/>
    <col min="9" max="10" width="9" style="3" customWidth="1"/>
    <col min="11" max="12" width="15.109375" style="3" customWidth="1" outlineLevel="1"/>
    <col min="13" max="13" width="11.88671875" style="2" customWidth="1" outlineLevel="1"/>
    <col min="14" max="16384" width="8.88671875" style="2"/>
  </cols>
  <sheetData>
    <row r="1" spans="1:13" ht="16.149999999999999" hidden="1" customHeight="1" outlineLevel="1">
      <c r="C1" s="2" t="s">
        <v>178</v>
      </c>
      <c r="D1" s="2" t="s">
        <v>179</v>
      </c>
      <c r="E1" s="3" t="s">
        <v>180</v>
      </c>
    </row>
    <row r="2" spans="1:13" ht="16.149999999999999" customHeight="1" collapsed="1"/>
    <row r="3" spans="1:13" ht="16.149999999999999" customHeight="1">
      <c r="M3" s="3"/>
    </row>
    <row r="4" spans="1:13" ht="22.5" customHeight="1">
      <c r="B4" s="11" t="s">
        <v>26</v>
      </c>
      <c r="C4" s="11"/>
      <c r="D4" s="11"/>
      <c r="E4" s="11"/>
      <c r="F4" s="11"/>
      <c r="G4" s="11"/>
      <c r="H4" s="11"/>
      <c r="I4" s="11"/>
      <c r="J4" s="11"/>
      <c r="K4" s="11"/>
      <c r="L4" s="2"/>
    </row>
    <row r="5" spans="1:13" ht="22.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2"/>
    </row>
    <row r="6" spans="1:13" ht="22.5" customHeight="1">
      <c r="A6" s="11"/>
      <c r="B6" s="123" t="s">
        <v>20</v>
      </c>
      <c r="C6" s="123"/>
      <c r="D6" s="142" t="s">
        <v>23</v>
      </c>
      <c r="E6" s="142"/>
      <c r="F6" s="142"/>
      <c r="G6" s="142"/>
      <c r="H6" s="142"/>
      <c r="I6" s="2"/>
      <c r="J6" s="2"/>
      <c r="K6" s="2"/>
      <c r="L6" s="2"/>
    </row>
    <row r="7" spans="1:13" ht="22.5" customHeight="1">
      <c r="A7" s="11"/>
      <c r="B7" s="123" t="s">
        <v>18</v>
      </c>
      <c r="C7" s="123"/>
      <c r="D7" s="44">
        <v>45870</v>
      </c>
      <c r="E7" s="45">
        <v>45930</v>
      </c>
      <c r="F7" s="127" t="str">
        <f>E7-D7&amp;"박 "&amp;E7-D7+1&amp;"일"</f>
        <v>60박 61일</v>
      </c>
      <c r="G7" s="143"/>
      <c r="H7" s="128"/>
      <c r="I7" s="2"/>
      <c r="J7" s="2"/>
      <c r="K7" s="2"/>
      <c r="L7" s="2"/>
    </row>
    <row r="8" spans="1:13" ht="22.5" customHeight="1">
      <c r="B8" s="123" t="s">
        <v>22</v>
      </c>
      <c r="C8" s="123"/>
      <c r="D8" s="142" t="s">
        <v>27</v>
      </c>
      <c r="E8" s="142"/>
      <c r="F8" s="142"/>
      <c r="G8" s="142"/>
      <c r="H8" s="142"/>
      <c r="I8" s="2"/>
      <c r="J8" s="2"/>
      <c r="K8" s="2"/>
      <c r="L8" s="2"/>
    </row>
    <row r="9" spans="1:13" ht="22.5" customHeight="1">
      <c r="B9" s="123" t="s">
        <v>21</v>
      </c>
      <c r="C9" s="123"/>
      <c r="D9" s="142" t="s">
        <v>24</v>
      </c>
      <c r="E9" s="142"/>
      <c r="F9" s="142"/>
      <c r="G9" s="142"/>
      <c r="H9" s="142"/>
      <c r="I9" s="2"/>
      <c r="J9" s="2"/>
      <c r="K9" s="2"/>
      <c r="L9" s="2"/>
    </row>
    <row r="10" spans="1:13" ht="22.5" customHeight="1"/>
    <row r="11" spans="1:13" ht="22.5" customHeight="1">
      <c r="B11" s="2" t="s">
        <v>16</v>
      </c>
      <c r="E11" s="2"/>
      <c r="F11" s="2"/>
      <c r="G11" s="2"/>
      <c r="H11" s="2"/>
      <c r="I11" s="2"/>
      <c r="J11" s="2"/>
      <c r="K11" s="2"/>
      <c r="L11" s="2"/>
    </row>
    <row r="12" spans="1:13" ht="22.5" customHeight="1">
      <c r="B12" s="26" t="s">
        <v>17</v>
      </c>
      <c r="C12" s="131" t="s">
        <v>14</v>
      </c>
      <c r="D12" s="132"/>
      <c r="E12" s="133"/>
      <c r="F12" s="37" t="s">
        <v>25</v>
      </c>
      <c r="G12" s="138" t="s">
        <v>186</v>
      </c>
      <c r="H12" s="139"/>
      <c r="I12" s="6"/>
      <c r="J12" s="6"/>
      <c r="K12" s="2"/>
      <c r="L12" s="2"/>
    </row>
    <row r="13" spans="1:13" ht="22.5" customHeight="1">
      <c r="B13" s="26" t="s">
        <v>12</v>
      </c>
      <c r="C13" s="22" t="s">
        <v>33</v>
      </c>
      <c r="D13" s="22" t="s">
        <v>13</v>
      </c>
      <c r="E13" s="22" t="s">
        <v>29</v>
      </c>
      <c r="F13" s="37"/>
      <c r="G13" s="140"/>
      <c r="H13" s="141"/>
      <c r="I13" s="6"/>
    </row>
    <row r="14" spans="1:13" ht="22.5" customHeight="1">
      <c r="B14" s="27" t="s">
        <v>85</v>
      </c>
      <c r="C14" s="28">
        <f ca="1">SUMIFS(INDIRECT("'"&amp;C$1&amp;"'!L:l"),INDIRECT("'"&amp;C$1&amp;"'!d:d"),'출장비 정산(원화지급원화회수)'!$B14)</f>
        <v>500000</v>
      </c>
      <c r="D14" s="28">
        <f ca="1">SUMIFS(INDIRECT("'"&amp;D$1&amp;"'!L:l"),INDIRECT("'"&amp;D$1&amp;"'!d:d"),'출장비 정산(원화지급원화회수)'!$B14)</f>
        <v>0</v>
      </c>
      <c r="E14" s="28">
        <f ca="1">SUMIFS(INDIRECT("'"&amp;E$1&amp;"'!L:l"),INDIRECT("'"&amp;E$1&amp;"'!d:d"),'출장비 정산(원화지급원화회수)'!$B14)</f>
        <v>0</v>
      </c>
      <c r="F14" s="40">
        <f ca="1">SUM(C14:E14)</f>
        <v>500000</v>
      </c>
      <c r="G14" s="137" t="s">
        <v>197</v>
      </c>
      <c r="H14" s="137"/>
      <c r="I14" s="42" t="s">
        <v>115</v>
      </c>
      <c r="J14" s="97" t="s">
        <v>185</v>
      </c>
      <c r="K14" s="2"/>
      <c r="L14" s="2"/>
      <c r="M14" s="2" t="s">
        <v>184</v>
      </c>
    </row>
    <row r="15" spans="1:13" ht="22.5" customHeight="1">
      <c r="B15" s="27" t="s">
        <v>86</v>
      </c>
      <c r="C15" s="23">
        <f ca="1">SUMIFS(INDIRECT("'"&amp;C$1&amp;"'!L:l"),INDIRECT("'"&amp;C$1&amp;"'!d:d"),'출장비 정산(원화지급원화회수)'!$B15)</f>
        <v>0</v>
      </c>
      <c r="D15" s="23">
        <f ca="1">SUMIFS(INDIRECT("'"&amp;D$1&amp;"'!L:l"),INDIRECT("'"&amp;D$1&amp;"'!d:d"),'출장비 정산(원화지급원화회수)'!$B15)</f>
        <v>0</v>
      </c>
      <c r="E15" s="23">
        <f ca="1">SUMIFS(INDIRECT("'"&amp;E$1&amp;"'!L:l"),INDIRECT("'"&amp;E$1&amp;"'!d:d"),'출장비 정산(원화지급원화회수)'!$B15)</f>
        <v>0</v>
      </c>
      <c r="F15" s="40">
        <f t="shared" ref="F15:F27" ca="1" si="0">SUM(C15:E15)</f>
        <v>0</v>
      </c>
      <c r="G15" s="137"/>
      <c r="H15" s="137"/>
      <c r="I15" s="42" t="s">
        <v>115</v>
      </c>
      <c r="J15" s="97" t="s">
        <v>184</v>
      </c>
      <c r="K15" s="2"/>
      <c r="L15" s="2"/>
      <c r="M15" s="2" t="s">
        <v>184</v>
      </c>
    </row>
    <row r="16" spans="1:13" ht="22.5" customHeight="1">
      <c r="B16" s="27" t="s">
        <v>2</v>
      </c>
      <c r="C16" s="23">
        <f ca="1">SUMIFS(INDIRECT("'"&amp;C$1&amp;"'!L:l"),INDIRECT("'"&amp;C$1&amp;"'!d:d"),'출장비 정산(원화지급원화회수)'!$B16)</f>
        <v>0</v>
      </c>
      <c r="D16" s="23">
        <f ca="1">SUMIFS(INDIRECT("'"&amp;D$1&amp;"'!L:l"),INDIRECT("'"&amp;D$1&amp;"'!d:d"),'출장비 정산(원화지급원화회수)'!$B16)</f>
        <v>0</v>
      </c>
      <c r="E16" s="23">
        <f ca="1">SUMIFS(INDIRECT("'"&amp;E$1&amp;"'!L:l"),INDIRECT("'"&amp;E$1&amp;"'!d:d"),'출장비 정산(원화지급원화회수)'!$B16)</f>
        <v>0</v>
      </c>
      <c r="F16" s="40">
        <f t="shared" ca="1" si="0"/>
        <v>0</v>
      </c>
      <c r="G16" s="137"/>
      <c r="H16" s="137"/>
      <c r="I16" s="42" t="s">
        <v>115</v>
      </c>
      <c r="J16" s="97" t="s">
        <v>188</v>
      </c>
      <c r="K16" s="2"/>
      <c r="L16" s="2"/>
      <c r="M16" s="2" t="s">
        <v>187</v>
      </c>
    </row>
    <row r="17" spans="2:15" ht="22.5" customHeight="1">
      <c r="B17" s="27" t="s">
        <v>3</v>
      </c>
      <c r="C17" s="23">
        <f ca="1">SUMIFS(INDIRECT("'"&amp;C$1&amp;"'!L:l"),INDIRECT("'"&amp;C$1&amp;"'!d:d"),'출장비 정산(원화지급원화회수)'!$B17)</f>
        <v>114410</v>
      </c>
      <c r="D17" s="23">
        <f ca="1">SUMIFS(INDIRECT("'"&amp;D$1&amp;"'!L:l"),INDIRECT("'"&amp;D$1&amp;"'!d:d"),'출장비 정산(원화지급원화회수)'!$B17)</f>
        <v>0</v>
      </c>
      <c r="E17" s="23">
        <f ca="1">SUMIFS(INDIRECT("'"&amp;E$1&amp;"'!L:l"),INDIRECT("'"&amp;E$1&amp;"'!d:d"),'출장비 정산(원화지급원화회수)'!$B17)</f>
        <v>36000</v>
      </c>
      <c r="F17" s="40">
        <f t="shared" ca="1" si="0"/>
        <v>150410</v>
      </c>
      <c r="G17" s="137"/>
      <c r="H17" s="137"/>
      <c r="I17" s="42"/>
      <c r="J17" s="42"/>
      <c r="K17" s="2"/>
      <c r="L17" s="2"/>
    </row>
    <row r="18" spans="2:15" ht="22.5" customHeight="1">
      <c r="B18" s="27" t="s">
        <v>4</v>
      </c>
      <c r="C18" s="23">
        <f ca="1">SUMIFS(INDIRECT("'"&amp;C$1&amp;"'!L:l"),INDIRECT("'"&amp;C$1&amp;"'!d:d"),'출장비 정산(원화지급원화회수)'!$B19)</f>
        <v>0</v>
      </c>
      <c r="D18" s="23">
        <f ca="1">SUMIFS(INDIRECT("'"&amp;D$1&amp;"'!L:l"),INDIRECT("'"&amp;D$1&amp;"'!d:d"),'출장비 정산(원화지급원화회수)'!$B19)</f>
        <v>0</v>
      </c>
      <c r="E18" s="23">
        <f ca="1">SUMIFS(INDIRECT("'"&amp;E$1&amp;"'!L:l"),INDIRECT("'"&amp;E$1&amp;"'!d:d"),'출장비 정산(원화지급원화회수)'!$B19)</f>
        <v>0</v>
      </c>
      <c r="F18" s="40">
        <f t="shared" ca="1" si="0"/>
        <v>0</v>
      </c>
      <c r="G18" s="137"/>
      <c r="H18" s="137"/>
      <c r="I18" s="42"/>
      <c r="J18" s="42"/>
      <c r="K18" s="2"/>
      <c r="L18" s="2"/>
    </row>
    <row r="19" spans="2:15" ht="22.5" customHeight="1">
      <c r="B19" s="27" t="s">
        <v>5</v>
      </c>
      <c r="C19" s="23">
        <f ca="1">SUMIFS(INDIRECT("'"&amp;C$1&amp;"'!L:l"),INDIRECT("'"&amp;C$1&amp;"'!d:d"),'출장비 정산(원화지급원화회수)'!$B20)</f>
        <v>551795</v>
      </c>
      <c r="D19" s="23">
        <f ca="1">SUMIFS(INDIRECT("'"&amp;D$1&amp;"'!L:l"),INDIRECT("'"&amp;D$1&amp;"'!d:d"),'출장비 정산(원화지급원화회수)'!$B20)</f>
        <v>57600</v>
      </c>
      <c r="E19" s="23">
        <f ca="1">SUMIFS(INDIRECT("'"&amp;E$1&amp;"'!L:l"),INDIRECT("'"&amp;E$1&amp;"'!d:d"),'출장비 정산(원화지급원화회수)'!$B20)</f>
        <v>0</v>
      </c>
      <c r="F19" s="40">
        <f t="shared" ca="1" si="0"/>
        <v>609395</v>
      </c>
      <c r="G19" s="137" t="s">
        <v>199</v>
      </c>
      <c r="H19" s="137"/>
      <c r="I19" s="42"/>
      <c r="J19" s="42"/>
      <c r="K19" s="2"/>
      <c r="L19" s="2"/>
    </row>
    <row r="20" spans="2:15" ht="22.5" customHeight="1">
      <c r="B20" s="27" t="s">
        <v>6</v>
      </c>
      <c r="C20" s="23">
        <f ca="1">SUMIFS(INDIRECT("'"&amp;C$1&amp;"'!L:l"),INDIRECT("'"&amp;C$1&amp;"'!d:d"),'출장비 정산(원화지급원화회수)'!$B21)</f>
        <v>0</v>
      </c>
      <c r="D20" s="23">
        <f ca="1">SUMIFS(INDIRECT("'"&amp;D$1&amp;"'!L:l"),INDIRECT("'"&amp;D$1&amp;"'!d:d"),'출장비 정산(원화지급원화회수)'!$B21)</f>
        <v>0</v>
      </c>
      <c r="E20" s="23">
        <f ca="1">SUMIFS(INDIRECT("'"&amp;E$1&amp;"'!L:l"),INDIRECT("'"&amp;E$1&amp;"'!d:d"),'출장비 정산(원화지급원화회수)'!$B21)</f>
        <v>0</v>
      </c>
      <c r="F20" s="40">
        <f t="shared" ca="1" si="0"/>
        <v>0</v>
      </c>
      <c r="G20" s="137"/>
      <c r="H20" s="137"/>
      <c r="I20" s="42"/>
      <c r="J20" s="42"/>
      <c r="K20" s="2"/>
      <c r="L20" s="2"/>
    </row>
    <row r="21" spans="2:15" ht="22.5" customHeight="1">
      <c r="B21" s="27" t="s">
        <v>7</v>
      </c>
      <c r="C21" s="23">
        <f ca="1">SUMIFS(INDIRECT("'"&amp;C$1&amp;"'!L:l"),INDIRECT("'"&amp;C$1&amp;"'!d:d"),'출장비 정산(원화지급원화회수)'!$B22)</f>
        <v>0</v>
      </c>
      <c r="D21" s="23">
        <f ca="1">SUMIFS(INDIRECT("'"&amp;D$1&amp;"'!L:l"),INDIRECT("'"&amp;D$1&amp;"'!d:d"),'출장비 정산(원화지급원화회수)'!$B22)</f>
        <v>0</v>
      </c>
      <c r="E21" s="23">
        <f ca="1">SUMIFS(INDIRECT("'"&amp;E$1&amp;"'!L:l"),INDIRECT("'"&amp;E$1&amp;"'!d:d"),'출장비 정산(원화지급원화회수)'!$B22)</f>
        <v>0</v>
      </c>
      <c r="F21" s="40">
        <f t="shared" ca="1" si="0"/>
        <v>0</v>
      </c>
      <c r="G21" s="137"/>
      <c r="H21" s="137"/>
      <c r="I21" s="42"/>
      <c r="J21" s="42"/>
      <c r="K21" s="2"/>
      <c r="L21" s="2"/>
    </row>
    <row r="22" spans="2:15" ht="22.5" customHeight="1">
      <c r="B22" s="27" t="s">
        <v>8</v>
      </c>
      <c r="C22" s="23">
        <f ca="1">SUMIFS(INDIRECT("'"&amp;C$1&amp;"'!L:l"),INDIRECT("'"&amp;C$1&amp;"'!d:d"),'출장비 정산(원화지급원화회수)'!$B23)</f>
        <v>0</v>
      </c>
      <c r="D22" s="23">
        <f ca="1">SUMIFS(INDIRECT("'"&amp;D$1&amp;"'!L:l"),INDIRECT("'"&amp;D$1&amp;"'!d:d"),'출장비 정산(원화지급원화회수)'!$B23)</f>
        <v>0</v>
      </c>
      <c r="E22" s="23">
        <f ca="1">SUMIFS(INDIRECT("'"&amp;E$1&amp;"'!L:l"),INDIRECT("'"&amp;E$1&amp;"'!d:d"),'출장비 정산(원화지급원화회수)'!$B23)</f>
        <v>18000</v>
      </c>
      <c r="F22" s="40">
        <f t="shared" ca="1" si="0"/>
        <v>18000</v>
      </c>
      <c r="G22" s="137"/>
      <c r="H22" s="137"/>
      <c r="I22" s="42"/>
      <c r="J22" s="42"/>
      <c r="K22" s="2"/>
      <c r="L22" s="2"/>
    </row>
    <row r="23" spans="2:15" ht="22.5" customHeight="1">
      <c r="B23" s="27" t="s">
        <v>10</v>
      </c>
      <c r="C23" s="23">
        <f ca="1">SUMIFS(INDIRECT("'"&amp;C$1&amp;"'!L:l"),INDIRECT("'"&amp;C$1&amp;"'!d:d"),'출장비 정산(원화지급원화회수)'!$B24)</f>
        <v>0</v>
      </c>
      <c r="D23" s="23">
        <f ca="1">SUMIFS(INDIRECT("'"&amp;D$1&amp;"'!L:l"),INDIRECT("'"&amp;D$1&amp;"'!d:d"),'출장비 정산(원화지급원화회수)'!$B24)</f>
        <v>0</v>
      </c>
      <c r="E23" s="23">
        <f ca="1">SUMIFS(INDIRECT("'"&amp;E$1&amp;"'!L:l"),INDIRECT("'"&amp;E$1&amp;"'!d:d"),'출장비 정산(원화지급원화회수)'!$B24)</f>
        <v>0</v>
      </c>
      <c r="F23" s="40">
        <f t="shared" ca="1" si="0"/>
        <v>0</v>
      </c>
      <c r="G23" s="137"/>
      <c r="H23" s="137"/>
      <c r="I23" s="42"/>
      <c r="J23" s="42"/>
      <c r="K23" s="2"/>
      <c r="L23" s="2"/>
    </row>
    <row r="24" spans="2:15" ht="22.5" customHeight="1">
      <c r="B24" s="27" t="s">
        <v>11</v>
      </c>
      <c r="C24" s="23">
        <f ca="1">SUMIFS(INDIRECT("'"&amp;C$1&amp;"'!L:l"),INDIRECT("'"&amp;C$1&amp;"'!d:d"),'출장비 정산(원화지급원화회수)'!$B25)</f>
        <v>0</v>
      </c>
      <c r="D24" s="23">
        <f ca="1">SUMIFS(INDIRECT("'"&amp;D$1&amp;"'!L:l"),INDIRECT("'"&amp;D$1&amp;"'!d:d"),'출장비 정산(원화지급원화회수)'!$B25)</f>
        <v>14700</v>
      </c>
      <c r="E24" s="23">
        <f ca="1">SUMIFS(INDIRECT("'"&amp;E$1&amp;"'!L:l"),INDIRECT("'"&amp;E$1&amp;"'!d:d"),'출장비 정산(원화지급원화회수)'!$B25)</f>
        <v>0</v>
      </c>
      <c r="F24" s="40">
        <f t="shared" ca="1" si="0"/>
        <v>14700</v>
      </c>
      <c r="G24" s="137"/>
      <c r="H24" s="137"/>
      <c r="I24" s="42"/>
      <c r="J24" s="42"/>
      <c r="K24" s="2"/>
      <c r="L24" s="2"/>
    </row>
    <row r="25" spans="2:15" ht="22.5" customHeight="1">
      <c r="B25" s="27" t="s">
        <v>9</v>
      </c>
      <c r="C25" s="23">
        <f ca="1">SUMIFS(INDIRECT("'"&amp;C$1&amp;"'!L:l"),INDIRECT("'"&amp;C$1&amp;"'!d:d"),'출장비 정산(원화지급원화회수)'!$B26)</f>
        <v>0</v>
      </c>
      <c r="D25" s="23">
        <f ca="1">SUMIFS(INDIRECT("'"&amp;D$1&amp;"'!L:l"),INDIRECT("'"&amp;D$1&amp;"'!d:d"),'출장비 정산(원화지급원화회수)'!$B26)</f>
        <v>0</v>
      </c>
      <c r="E25" s="23">
        <f ca="1">SUMIFS(INDIRECT("'"&amp;E$1&amp;"'!L:l"),INDIRECT("'"&amp;E$1&amp;"'!d:d"),'출장비 정산(원화지급원화회수)'!$B26)</f>
        <v>0</v>
      </c>
      <c r="F25" s="40">
        <f t="shared" ca="1" si="0"/>
        <v>0</v>
      </c>
      <c r="G25" s="137"/>
      <c r="H25" s="137"/>
      <c r="I25" s="42"/>
      <c r="J25" s="42"/>
      <c r="K25" s="2"/>
      <c r="L25" s="2"/>
    </row>
    <row r="26" spans="2:15" ht="22.5" customHeight="1">
      <c r="B26" s="27" t="s">
        <v>84</v>
      </c>
      <c r="C26" s="23">
        <f ca="1">SUMIFS(INDIRECT("'"&amp;C$1&amp;"'!L:l"),INDIRECT("'"&amp;C$1&amp;"'!d:d"),'출장비 정산(원화지급원화회수)'!$B27)</f>
        <v>0</v>
      </c>
      <c r="D26" s="23">
        <f ca="1">SUMIFS(INDIRECT("'"&amp;D$1&amp;"'!L:l"),INDIRECT("'"&amp;D$1&amp;"'!d:d"),'출장비 정산(원화지급원화회수)'!$B27)</f>
        <v>0</v>
      </c>
      <c r="E26" s="23">
        <f ca="1">SUMIFS(INDIRECT("'"&amp;E$1&amp;"'!L:l"),INDIRECT("'"&amp;E$1&amp;"'!d:d"),'출장비 정산(원화지급원화회수)'!$B27)</f>
        <v>0</v>
      </c>
      <c r="F26" s="40">
        <f t="shared" ca="1" si="0"/>
        <v>0</v>
      </c>
      <c r="G26" s="137"/>
      <c r="H26" s="137"/>
      <c r="I26" s="42"/>
      <c r="J26" s="42"/>
      <c r="K26" s="2"/>
      <c r="L26" s="2"/>
    </row>
    <row r="27" spans="2:15" ht="22.5" customHeight="1">
      <c r="B27" s="26" t="s">
        <v>15</v>
      </c>
      <c r="C27" s="24">
        <f ca="1">SUM(C14:C26)</f>
        <v>1166205</v>
      </c>
      <c r="D27" s="25">
        <f ca="1">SUM(D14:D26)</f>
        <v>72300</v>
      </c>
      <c r="E27" s="25">
        <f ca="1">SUM(E14:E26)</f>
        <v>54000</v>
      </c>
      <c r="F27" s="41">
        <f t="shared" ca="1" si="0"/>
        <v>1292505</v>
      </c>
      <c r="G27" s="137"/>
      <c r="H27" s="137"/>
      <c r="I27" s="42"/>
      <c r="J27" s="42"/>
      <c r="K27" s="2" t="b">
        <f ca="1">C27='2-1출장경비 법인카드'!L31</f>
        <v>0</v>
      </c>
      <c r="L27" s="2" t="b">
        <f ca="1">D27='2-2출장경비 현금'!L14</f>
        <v>0</v>
      </c>
      <c r="M27" s="2" t="b">
        <f ca="1">E27='2-3출장경비 개인경비'!L12</f>
        <v>1</v>
      </c>
    </row>
    <row r="28" spans="2:15" ht="22.5" customHeight="1">
      <c r="B28" s="6"/>
      <c r="C28" s="7"/>
      <c r="D28" s="7"/>
      <c r="E28" s="8"/>
      <c r="F28" s="8"/>
      <c r="G28" s="43"/>
      <c r="H28" s="43"/>
      <c r="I28" s="43"/>
      <c r="J28" s="43"/>
      <c r="K28" s="8"/>
      <c r="L28" s="8"/>
      <c r="M28" s="1"/>
      <c r="O28" s="5"/>
    </row>
    <row r="29" spans="2:15" ht="22.5" customHeight="1">
      <c r="B29" s="2" t="s">
        <v>30</v>
      </c>
    </row>
    <row r="30" spans="2:15" ht="16.149999999999999" customHeight="1">
      <c r="B30" s="135" t="s">
        <v>88</v>
      </c>
      <c r="C30" s="136"/>
      <c r="D30" s="98" t="s">
        <v>49</v>
      </c>
      <c r="E30" s="98" t="s">
        <v>50</v>
      </c>
      <c r="F30" s="99" t="s">
        <v>165</v>
      </c>
      <c r="G30" s="99" t="s">
        <v>166</v>
      </c>
      <c r="H30" s="99" t="s">
        <v>167</v>
      </c>
      <c r="I30" s="31"/>
      <c r="J30" s="31"/>
      <c r="K30" s="2" t="s">
        <v>181</v>
      </c>
      <c r="L30" s="2"/>
    </row>
    <row r="31" spans="2:15" ht="16.149999999999999" customHeight="1">
      <c r="B31" s="100" t="s">
        <v>168</v>
      </c>
      <c r="C31" s="101" t="s">
        <v>169</v>
      </c>
      <c r="D31" s="106">
        <v>700</v>
      </c>
      <c r="E31" s="39">
        <v>0</v>
      </c>
      <c r="F31" s="39">
        <f>ROUND(D31*G31,)</f>
        <v>1029000</v>
      </c>
      <c r="G31" s="102">
        <f>L31</f>
        <v>1470</v>
      </c>
      <c r="H31" s="103" t="s">
        <v>170</v>
      </c>
      <c r="I31" s="31"/>
      <c r="J31" s="31"/>
      <c r="K31" s="2" t="s">
        <v>182</v>
      </c>
      <c r="L31" s="2">
        <v>1470</v>
      </c>
    </row>
    <row r="32" spans="2:15" ht="16.149999999999999" customHeight="1">
      <c r="B32" s="100" t="s">
        <v>171</v>
      </c>
      <c r="C32" s="101" t="s">
        <v>172</v>
      </c>
      <c r="D32" s="106">
        <v>500</v>
      </c>
      <c r="E32" s="39">
        <v>7800000</v>
      </c>
      <c r="F32" s="39">
        <f>ROUND(E32*G32,)</f>
        <v>710580</v>
      </c>
      <c r="G32" s="104">
        <f>L32</f>
        <v>9.11E-2</v>
      </c>
      <c r="H32" s="103"/>
      <c r="I32" s="13"/>
      <c r="J32" s="13"/>
      <c r="K32" s="2" t="s">
        <v>183</v>
      </c>
      <c r="L32" s="2">
        <v>9.11E-2</v>
      </c>
    </row>
    <row r="33" spans="2:19" ht="16.149999999999999" customHeight="1">
      <c r="B33" s="100" t="s">
        <v>173</v>
      </c>
      <c r="C33" s="101" t="s">
        <v>174</v>
      </c>
      <c r="D33" s="106">
        <f>D31-D32</f>
        <v>200</v>
      </c>
      <c r="E33" s="39">
        <f>E32</f>
        <v>7800000</v>
      </c>
      <c r="F33" s="39">
        <f>ROUND(D33*L31,)+F32</f>
        <v>1004580</v>
      </c>
      <c r="G33" s="102"/>
      <c r="H33" s="103"/>
      <c r="I33" s="32"/>
      <c r="J33" s="32"/>
      <c r="K33" s="2"/>
      <c r="L33" s="29"/>
      <c r="R33" s="6"/>
      <c r="S33" s="14"/>
    </row>
    <row r="34" spans="2:19" ht="16.149999999999999" customHeight="1">
      <c r="B34" s="100" t="s">
        <v>175</v>
      </c>
      <c r="C34" s="101" t="s">
        <v>176</v>
      </c>
      <c r="D34" s="106">
        <f>'2-2출장경비 현금'!H14</f>
        <v>110</v>
      </c>
      <c r="E34" s="39">
        <f>'2-2출장경비 현금'!I14</f>
        <v>2112900</v>
      </c>
      <c r="F34" s="39">
        <f>ROUND((D34*$L$31)+(E34*$L$32),)</f>
        <v>354185</v>
      </c>
      <c r="G34" s="105"/>
      <c r="H34" s="103"/>
      <c r="I34" s="2"/>
      <c r="J34" s="2"/>
      <c r="K34" s="2"/>
      <c r="L34" s="34"/>
      <c r="R34" s="3"/>
      <c r="S34" s="3"/>
    </row>
    <row r="35" spans="2:19" ht="16.149999999999999" customHeight="1">
      <c r="B35" s="100" t="s">
        <v>89</v>
      </c>
      <c r="C35" s="101" t="s">
        <v>177</v>
      </c>
      <c r="D35" s="106">
        <f>D33-D34</f>
        <v>90</v>
      </c>
      <c r="E35" s="39">
        <f>E33-E34</f>
        <v>5687100</v>
      </c>
      <c r="F35" s="39">
        <f>F33-F34</f>
        <v>650395</v>
      </c>
      <c r="G35" s="105"/>
      <c r="H35" s="103"/>
      <c r="I35" s="32"/>
      <c r="J35" s="32"/>
      <c r="K35" s="2"/>
      <c r="L35" s="34"/>
      <c r="R35" s="3"/>
    </row>
    <row r="36" spans="2:19" ht="16.149999999999999" customHeight="1">
      <c r="E36" s="18"/>
      <c r="F36" s="32"/>
      <c r="G36" s="31"/>
      <c r="H36" s="31"/>
      <c r="I36" s="31"/>
      <c r="J36" s="31"/>
      <c r="K36" s="2"/>
      <c r="L36" s="33"/>
      <c r="R36" s="3"/>
      <c r="S36" s="15"/>
    </row>
    <row r="37" spans="2:19" ht="16.149999999999999" customHeight="1">
      <c r="E37" s="2"/>
      <c r="F37" s="31"/>
      <c r="G37" s="16"/>
      <c r="H37" s="16"/>
      <c r="I37" s="16"/>
      <c r="J37" s="16"/>
      <c r="K37" s="2"/>
      <c r="L37" s="17"/>
      <c r="R37" s="3"/>
      <c r="S37" s="3"/>
    </row>
    <row r="38" spans="2:19" ht="16.149999999999999" customHeight="1">
      <c r="E38" s="2"/>
      <c r="F38" s="16"/>
      <c r="G38" s="19"/>
      <c r="H38" s="19"/>
      <c r="I38" s="19"/>
      <c r="J38" s="19"/>
      <c r="K38" s="2"/>
      <c r="L38" s="30"/>
      <c r="R38" s="3"/>
      <c r="S38" s="3"/>
    </row>
    <row r="39" spans="2:19" ht="16.149999999999999" customHeight="1">
      <c r="F39" s="19"/>
      <c r="G39" s="2"/>
      <c r="H39" s="2"/>
      <c r="I39" s="2"/>
      <c r="J39" s="2"/>
      <c r="K39" s="2"/>
      <c r="L39" s="2"/>
      <c r="R39" s="3"/>
      <c r="S39" s="3"/>
    </row>
    <row r="40" spans="2:19" ht="16.149999999999999" customHeight="1">
      <c r="F40" s="2"/>
      <c r="G40" s="2"/>
      <c r="H40" s="2"/>
      <c r="I40" s="2"/>
      <c r="J40" s="2"/>
      <c r="K40" s="2"/>
      <c r="L40" s="2"/>
      <c r="R40" s="20"/>
      <c r="S40" s="21"/>
    </row>
    <row r="41" spans="2:19" ht="16.149999999999999" customHeight="1">
      <c r="F41" s="2"/>
      <c r="G41" s="2"/>
      <c r="H41" s="2"/>
      <c r="I41" s="2"/>
      <c r="J41" s="2"/>
      <c r="K41" s="20"/>
      <c r="L41" s="2"/>
    </row>
    <row r="42" spans="2:19" ht="16.149999999999999" customHeight="1">
      <c r="F42" s="2"/>
      <c r="K42" s="2"/>
      <c r="L42" s="2"/>
    </row>
    <row r="51" spans="6:10" ht="16.149999999999999" customHeight="1">
      <c r="G51" s="2"/>
      <c r="H51" s="2"/>
      <c r="I51" s="2"/>
      <c r="J51" s="2"/>
    </row>
    <row r="52" spans="6:10" ht="16.149999999999999" customHeight="1">
      <c r="F52" s="2"/>
    </row>
  </sheetData>
  <mergeCells count="25">
    <mergeCell ref="B6:C6"/>
    <mergeCell ref="D9:H9"/>
    <mergeCell ref="D8:H8"/>
    <mergeCell ref="F7:H7"/>
    <mergeCell ref="D6:H6"/>
    <mergeCell ref="G18:H18"/>
    <mergeCell ref="G12:H13"/>
    <mergeCell ref="B9:C9"/>
    <mergeCell ref="B8:C8"/>
    <mergeCell ref="B7:C7"/>
    <mergeCell ref="G17:H17"/>
    <mergeCell ref="G16:H16"/>
    <mergeCell ref="G15:H15"/>
    <mergeCell ref="G14:H14"/>
    <mergeCell ref="C12:E12"/>
    <mergeCell ref="G23:H23"/>
    <mergeCell ref="G22:H22"/>
    <mergeCell ref="G21:H21"/>
    <mergeCell ref="G20:H20"/>
    <mergeCell ref="G19:H19"/>
    <mergeCell ref="B30:C30"/>
    <mergeCell ref="G27:H27"/>
    <mergeCell ref="G26:H26"/>
    <mergeCell ref="G25:H25"/>
    <mergeCell ref="G24:H24"/>
  </mergeCells>
  <phoneticPr fontId="5" type="noConversion"/>
  <printOptions horizontalCentered="1"/>
  <pageMargins left="0.39370078740157483" right="0.39370078740157483" top="1.0629921259842521" bottom="0.43307086614173229" header="0.51181102362204722" footer="0.27559055118110237"/>
  <pageSetup paperSize="9" scale="8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1645B-5039-408B-9981-03C096E6E9A8}">
  <sheetPr>
    <tabColor rgb="FFFFFF00"/>
    <pageSetUpPr fitToPage="1"/>
  </sheetPr>
  <dimension ref="A1:N32"/>
  <sheetViews>
    <sheetView showGridLines="0" tabSelected="1" view="pageBreakPreview" zoomScaleNormal="90" zoomScaleSheetLayoutView="100" workbookViewId="0">
      <pane ySplit="8" topLeftCell="A9" activePane="bottomLeft" state="frozen"/>
      <selection activeCell="H31" sqref="H31"/>
      <selection pane="bottomLeft" activeCell="B7" sqref="B7:M8"/>
    </sheetView>
  </sheetViews>
  <sheetFormatPr defaultColWidth="8.44140625" defaultRowHeight="16.5"/>
  <cols>
    <col min="1" max="1" width="4.77734375" style="50" customWidth="1"/>
    <col min="2" max="2" width="10.33203125" style="71" customWidth="1"/>
    <col min="3" max="3" width="18.77734375" style="71" customWidth="1"/>
    <col min="4" max="4" width="11.109375" style="50" customWidth="1"/>
    <col min="5" max="5" width="9.77734375" style="113" customWidth="1"/>
    <col min="6" max="6" width="13.77734375" style="50" customWidth="1"/>
    <col min="7" max="7" width="10.5546875" style="50" customWidth="1"/>
    <col min="8" max="8" width="10.109375" style="50" customWidth="1"/>
    <col min="9" max="9" width="11.88671875" style="50" customWidth="1"/>
    <col min="10" max="11" width="9.88671875" style="72" customWidth="1"/>
    <col min="12" max="12" width="14.44140625" style="50" customWidth="1"/>
    <col min="13" max="13" width="19.88671875" style="50" customWidth="1"/>
    <col min="14" max="14" width="8.109375" style="50" customWidth="1"/>
    <col min="15" max="15" width="6.21875" style="50" customWidth="1"/>
    <col min="16" max="25" width="10" style="50" customWidth="1"/>
    <col min="26" max="26" width="2.44140625" style="50" customWidth="1"/>
    <col min="27" max="16384" width="8.44140625" style="50"/>
  </cols>
  <sheetData>
    <row r="1" spans="1:14" ht="5.0999999999999996" customHeight="1">
      <c r="A1" s="46"/>
      <c r="B1" s="47"/>
      <c r="C1" s="47"/>
      <c r="D1" s="46"/>
      <c r="E1" s="111"/>
      <c r="F1" s="48"/>
      <c r="G1" s="48"/>
      <c r="H1" s="46"/>
      <c r="I1" s="46"/>
      <c r="J1" s="49"/>
      <c r="K1" s="49"/>
      <c r="L1" s="48"/>
      <c r="M1" s="48"/>
      <c r="N1" s="48"/>
    </row>
    <row r="2" spans="1:14" ht="24.95" customHeight="1">
      <c r="A2" s="151" t="s">
        <v>35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</row>
    <row r="3" spans="1:14" ht="24.95" customHeight="1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</row>
    <row r="4" spans="1:14" ht="5.0999999999999996" customHeight="1">
      <c r="A4" s="46"/>
      <c r="B4" s="47"/>
      <c r="C4" s="47"/>
      <c r="D4" s="46"/>
      <c r="E4" s="111"/>
      <c r="F4" s="48"/>
      <c r="G4" s="48"/>
      <c r="H4" s="46"/>
      <c r="I4" s="46"/>
      <c r="J4" s="49"/>
      <c r="K4" s="49"/>
      <c r="L4" s="48"/>
      <c r="M4" s="48"/>
      <c r="N4" s="48"/>
    </row>
    <row r="5" spans="1:14" s="52" customFormat="1" ht="24.95" customHeight="1">
      <c r="A5" s="152" t="s">
        <v>36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51"/>
    </row>
    <row r="6" spans="1:14" ht="20.100000000000001" customHeight="1">
      <c r="A6" s="53" t="s">
        <v>37</v>
      </c>
      <c r="B6" s="47"/>
      <c r="C6" s="47"/>
      <c r="D6" s="46"/>
      <c r="E6" s="111"/>
      <c r="F6" s="48"/>
      <c r="G6" s="48"/>
      <c r="H6" s="46"/>
      <c r="I6" s="46"/>
      <c r="J6" s="49"/>
      <c r="K6" s="49"/>
      <c r="L6" s="48"/>
      <c r="M6" s="48"/>
      <c r="N6" s="48"/>
    </row>
    <row r="7" spans="1:14" ht="20.100000000000001" customHeight="1">
      <c r="A7" s="155" t="s">
        <v>39</v>
      </c>
      <c r="B7" s="185" t="s">
        <v>38</v>
      </c>
      <c r="C7" s="186" t="s">
        <v>40</v>
      </c>
      <c r="D7" s="153" t="s">
        <v>41</v>
      </c>
      <c r="E7" s="157" t="s">
        <v>42</v>
      </c>
      <c r="F7" s="159" t="s">
        <v>43</v>
      </c>
      <c r="G7" s="160"/>
      <c r="H7" s="189" t="s">
        <v>44</v>
      </c>
      <c r="I7" s="190"/>
      <c r="J7" s="163" t="s">
        <v>45</v>
      </c>
      <c r="K7" s="163" t="s">
        <v>46</v>
      </c>
      <c r="L7" s="185" t="s">
        <v>47</v>
      </c>
      <c r="M7" s="153" t="s">
        <v>48</v>
      </c>
    </row>
    <row r="8" spans="1:14" ht="20.100000000000001" customHeight="1">
      <c r="A8" s="156"/>
      <c r="B8" s="187"/>
      <c r="C8" s="188"/>
      <c r="D8" s="154"/>
      <c r="E8" s="158"/>
      <c r="F8" s="161"/>
      <c r="G8" s="162"/>
      <c r="H8" s="54" t="s">
        <v>49</v>
      </c>
      <c r="I8" s="54" t="s">
        <v>50</v>
      </c>
      <c r="J8" s="164"/>
      <c r="K8" s="164"/>
      <c r="L8" s="187"/>
      <c r="M8" s="154"/>
    </row>
    <row r="9" spans="1:14" ht="30" customHeight="1">
      <c r="A9" s="63">
        <f t="shared" ref="A9:A30" si="0">ROW()-8</f>
        <v>1</v>
      </c>
      <c r="B9" s="55" t="s">
        <v>67</v>
      </c>
      <c r="C9" s="57" t="s">
        <v>191</v>
      </c>
      <c r="D9" s="58" t="s">
        <v>192</v>
      </c>
      <c r="E9" s="110" t="s">
        <v>193</v>
      </c>
      <c r="F9" s="144" t="s">
        <v>194</v>
      </c>
      <c r="G9" s="145"/>
      <c r="H9" s="76">
        <v>0</v>
      </c>
      <c r="I9" s="64">
        <v>0</v>
      </c>
      <c r="J9" s="65">
        <v>0</v>
      </c>
      <c r="K9" s="65">
        <v>0</v>
      </c>
      <c r="L9" s="66">
        <v>40280</v>
      </c>
      <c r="M9" s="62" t="s">
        <v>155</v>
      </c>
    </row>
    <row r="10" spans="1:14" ht="30" customHeight="1">
      <c r="A10" s="63">
        <f t="shared" si="0"/>
        <v>2</v>
      </c>
      <c r="B10" s="55" t="s">
        <v>67</v>
      </c>
      <c r="C10" s="57" t="s">
        <v>162</v>
      </c>
      <c r="D10" s="58" t="s">
        <v>154</v>
      </c>
      <c r="E10" s="110" t="s">
        <v>193</v>
      </c>
      <c r="F10" s="144" t="s">
        <v>163</v>
      </c>
      <c r="G10" s="145"/>
      <c r="H10" s="76">
        <v>0</v>
      </c>
      <c r="I10" s="64">
        <v>0</v>
      </c>
      <c r="J10" s="65">
        <v>0</v>
      </c>
      <c r="K10" s="65">
        <v>0</v>
      </c>
      <c r="L10" s="66">
        <v>500000</v>
      </c>
      <c r="M10" s="62" t="s">
        <v>155</v>
      </c>
    </row>
    <row r="11" spans="1:14" ht="30" customHeight="1">
      <c r="A11" s="56">
        <f>ROW()-8</f>
        <v>3</v>
      </c>
      <c r="B11" s="55" t="s">
        <v>51</v>
      </c>
      <c r="C11" s="57" t="s">
        <v>99</v>
      </c>
      <c r="D11" s="58" t="s">
        <v>52</v>
      </c>
      <c r="E11" s="110" t="s">
        <v>87</v>
      </c>
      <c r="F11" s="165" t="s">
        <v>54</v>
      </c>
      <c r="G11" s="166"/>
      <c r="H11" s="74">
        <v>0</v>
      </c>
      <c r="I11" s="60">
        <v>1472900</v>
      </c>
      <c r="J11" s="61">
        <f>IF(H11&gt;0,$L11/H11,0)</f>
        <v>0</v>
      </c>
      <c r="K11" s="61">
        <f>IF(I11&gt;0,$L11/I11,0)</f>
        <v>8.6027564668341369E-2</v>
      </c>
      <c r="L11" s="60">
        <v>126710</v>
      </c>
      <c r="M11" s="62" t="s">
        <v>155</v>
      </c>
    </row>
    <row r="12" spans="1:14" ht="30" customHeight="1">
      <c r="A12" s="63">
        <f t="shared" si="0"/>
        <v>4</v>
      </c>
      <c r="B12" s="55" t="s">
        <v>51</v>
      </c>
      <c r="C12" s="57" t="s">
        <v>100</v>
      </c>
      <c r="D12" s="58" t="s">
        <v>52</v>
      </c>
      <c r="E12" s="110" t="s">
        <v>53</v>
      </c>
      <c r="F12" s="144" t="s">
        <v>55</v>
      </c>
      <c r="G12" s="145"/>
      <c r="H12" s="76">
        <v>0</v>
      </c>
      <c r="I12" s="64">
        <v>2250000</v>
      </c>
      <c r="J12" s="65">
        <f t="shared" ref="J12:J30" si="1">IF(H12&gt;0,L12/H12,0)</f>
        <v>0</v>
      </c>
      <c r="K12" s="65">
        <f t="shared" ref="K12:K30" si="2">IF(I12&gt;0,$L12/I12,0)</f>
        <v>8.6020888888888883E-2</v>
      </c>
      <c r="L12" s="66">
        <v>193547</v>
      </c>
      <c r="M12" s="62" t="s">
        <v>155</v>
      </c>
    </row>
    <row r="13" spans="1:14" ht="30" customHeight="1">
      <c r="A13" s="56">
        <f t="shared" si="0"/>
        <v>5</v>
      </c>
      <c r="B13" s="55" t="s">
        <v>51</v>
      </c>
      <c r="C13" s="57" t="s">
        <v>101</v>
      </c>
      <c r="D13" s="58" t="s">
        <v>56</v>
      </c>
      <c r="E13" s="110" t="s">
        <v>53</v>
      </c>
      <c r="F13" s="144" t="s">
        <v>57</v>
      </c>
      <c r="G13" s="145"/>
      <c r="H13" s="76">
        <v>0</v>
      </c>
      <c r="I13" s="64">
        <v>320000</v>
      </c>
      <c r="J13" s="65">
        <f t="shared" si="1"/>
        <v>0</v>
      </c>
      <c r="K13" s="65">
        <f t="shared" si="2"/>
        <v>8.6043750000000002E-2</v>
      </c>
      <c r="L13" s="66">
        <v>27534</v>
      </c>
      <c r="M13" s="62" t="s">
        <v>156</v>
      </c>
    </row>
    <row r="14" spans="1:14" ht="30" customHeight="1">
      <c r="A14" s="63">
        <f t="shared" si="0"/>
        <v>6</v>
      </c>
      <c r="B14" s="55" t="s">
        <v>51</v>
      </c>
      <c r="C14" s="57" t="s">
        <v>102</v>
      </c>
      <c r="D14" s="58" t="s">
        <v>56</v>
      </c>
      <c r="E14" s="110" t="s">
        <v>53</v>
      </c>
      <c r="F14" s="144" t="s">
        <v>58</v>
      </c>
      <c r="G14" s="145"/>
      <c r="H14" s="76">
        <v>0</v>
      </c>
      <c r="I14" s="64">
        <v>255666</v>
      </c>
      <c r="J14" s="65">
        <f t="shared" si="1"/>
        <v>0</v>
      </c>
      <c r="K14" s="65">
        <f t="shared" si="2"/>
        <v>8.6323562773305801E-2</v>
      </c>
      <c r="L14" s="66">
        <v>22070</v>
      </c>
      <c r="M14" s="62" t="s">
        <v>157</v>
      </c>
    </row>
    <row r="15" spans="1:14" ht="30" customHeight="1">
      <c r="A15" s="56">
        <f t="shared" si="0"/>
        <v>7</v>
      </c>
      <c r="B15" s="55" t="s">
        <v>51</v>
      </c>
      <c r="C15" s="57" t="s">
        <v>103</v>
      </c>
      <c r="D15" s="58" t="s">
        <v>56</v>
      </c>
      <c r="E15" s="110" t="s">
        <v>53</v>
      </c>
      <c r="F15" s="144" t="s">
        <v>59</v>
      </c>
      <c r="G15" s="145"/>
      <c r="H15" s="76">
        <v>0</v>
      </c>
      <c r="I15" s="64">
        <v>1047075</v>
      </c>
      <c r="J15" s="65">
        <f t="shared" si="1"/>
        <v>0</v>
      </c>
      <c r="K15" s="65">
        <f t="shared" si="2"/>
        <v>8.6320464150132517E-2</v>
      </c>
      <c r="L15" s="66">
        <v>90384</v>
      </c>
      <c r="M15" s="62" t="s">
        <v>157</v>
      </c>
    </row>
    <row r="16" spans="1:14" ht="30" customHeight="1">
      <c r="A16" s="63">
        <f t="shared" si="0"/>
        <v>8</v>
      </c>
      <c r="B16" s="55" t="s">
        <v>51</v>
      </c>
      <c r="C16" s="57" t="s">
        <v>104</v>
      </c>
      <c r="D16" s="58" t="s">
        <v>3</v>
      </c>
      <c r="E16" s="110" t="s">
        <v>53</v>
      </c>
      <c r="F16" s="144" t="s">
        <v>60</v>
      </c>
      <c r="G16" s="145"/>
      <c r="H16" s="76">
        <v>0</v>
      </c>
      <c r="I16" s="64">
        <v>552999</v>
      </c>
      <c r="J16" s="65">
        <f t="shared" si="1"/>
        <v>0</v>
      </c>
      <c r="K16" s="65">
        <f t="shared" si="2"/>
        <v>8.6736142380004308E-2</v>
      </c>
      <c r="L16" s="66">
        <v>47965</v>
      </c>
      <c r="M16" s="62" t="s">
        <v>155</v>
      </c>
    </row>
    <row r="17" spans="1:13" ht="30" customHeight="1">
      <c r="A17" s="56">
        <f t="shared" si="0"/>
        <v>9</v>
      </c>
      <c r="B17" s="55" t="s">
        <v>61</v>
      </c>
      <c r="C17" s="57" t="s">
        <v>105</v>
      </c>
      <c r="D17" s="58" t="s">
        <v>52</v>
      </c>
      <c r="E17" s="110" t="s">
        <v>53</v>
      </c>
      <c r="F17" s="144" t="s">
        <v>62</v>
      </c>
      <c r="G17" s="145"/>
      <c r="H17" s="76">
        <v>0</v>
      </c>
      <c r="I17" s="64">
        <v>999075</v>
      </c>
      <c r="J17" s="65">
        <f t="shared" si="1"/>
        <v>0</v>
      </c>
      <c r="K17" s="65">
        <f t="shared" si="2"/>
        <v>8.6896379150714409E-2</v>
      </c>
      <c r="L17" s="66">
        <v>86816</v>
      </c>
      <c r="M17" s="62" t="s">
        <v>155</v>
      </c>
    </row>
    <row r="18" spans="1:13" ht="30" customHeight="1">
      <c r="A18" s="63">
        <f t="shared" si="0"/>
        <v>10</v>
      </c>
      <c r="B18" s="55" t="s">
        <v>61</v>
      </c>
      <c r="C18" s="57" t="s">
        <v>106</v>
      </c>
      <c r="D18" s="58" t="s">
        <v>52</v>
      </c>
      <c r="E18" s="110" t="s">
        <v>53</v>
      </c>
      <c r="F18" s="144" t="s">
        <v>55</v>
      </c>
      <c r="G18" s="145"/>
      <c r="H18" s="76">
        <v>0</v>
      </c>
      <c r="I18" s="64">
        <v>524000</v>
      </c>
      <c r="J18" s="65">
        <f t="shared" si="1"/>
        <v>0</v>
      </c>
      <c r="K18" s="65">
        <f t="shared" si="2"/>
        <v>8.6877862595419852E-2</v>
      </c>
      <c r="L18" s="66">
        <v>45524</v>
      </c>
      <c r="M18" s="62" t="s">
        <v>155</v>
      </c>
    </row>
    <row r="19" spans="1:13" ht="30" customHeight="1">
      <c r="A19" s="56">
        <f t="shared" si="0"/>
        <v>11</v>
      </c>
      <c r="B19" s="55" t="s">
        <v>61</v>
      </c>
      <c r="C19" s="57" t="s">
        <v>107</v>
      </c>
      <c r="D19" s="58" t="s">
        <v>56</v>
      </c>
      <c r="E19" s="110" t="s">
        <v>53</v>
      </c>
      <c r="F19" s="144" t="s">
        <v>57</v>
      </c>
      <c r="G19" s="145"/>
      <c r="H19" s="76">
        <v>0</v>
      </c>
      <c r="I19" s="64">
        <v>195000</v>
      </c>
      <c r="J19" s="65">
        <f t="shared" si="1"/>
        <v>0</v>
      </c>
      <c r="K19" s="65">
        <f t="shared" si="2"/>
        <v>8.6882051282051287E-2</v>
      </c>
      <c r="L19" s="66">
        <v>16942</v>
      </c>
      <c r="M19" s="62" t="s">
        <v>157</v>
      </c>
    </row>
    <row r="20" spans="1:13" ht="30" customHeight="1">
      <c r="A20" s="63">
        <f t="shared" si="0"/>
        <v>12</v>
      </c>
      <c r="B20" s="55" t="s">
        <v>61</v>
      </c>
      <c r="C20" s="57" t="s">
        <v>108</v>
      </c>
      <c r="D20" s="58" t="s">
        <v>56</v>
      </c>
      <c r="E20" s="110" t="s">
        <v>53</v>
      </c>
      <c r="F20" s="144" t="s">
        <v>58</v>
      </c>
      <c r="G20" s="145"/>
      <c r="H20" s="76">
        <v>0</v>
      </c>
      <c r="I20" s="64">
        <v>140001</v>
      </c>
      <c r="J20" s="65">
        <f t="shared" si="1"/>
        <v>0</v>
      </c>
      <c r="K20" s="65">
        <f t="shared" si="2"/>
        <v>8.6899379290147932E-2</v>
      </c>
      <c r="L20" s="66">
        <v>12166</v>
      </c>
      <c r="M20" s="62" t="s">
        <v>157</v>
      </c>
    </row>
    <row r="21" spans="1:13" ht="30" customHeight="1">
      <c r="A21" s="56">
        <f t="shared" si="0"/>
        <v>13</v>
      </c>
      <c r="B21" s="55" t="s">
        <v>61</v>
      </c>
      <c r="C21" s="57" t="s">
        <v>109</v>
      </c>
      <c r="D21" s="58" t="s">
        <v>56</v>
      </c>
      <c r="E21" s="110" t="s">
        <v>53</v>
      </c>
      <c r="F21" s="144" t="s">
        <v>59</v>
      </c>
      <c r="G21" s="145"/>
      <c r="H21" s="76">
        <v>0</v>
      </c>
      <c r="I21" s="64">
        <v>2884000</v>
      </c>
      <c r="J21" s="65">
        <f t="shared" si="1"/>
        <v>0</v>
      </c>
      <c r="K21" s="65">
        <f t="shared" si="2"/>
        <v>8.6228848821081824E-2</v>
      </c>
      <c r="L21" s="66">
        <v>248684</v>
      </c>
      <c r="M21" s="62" t="s">
        <v>157</v>
      </c>
    </row>
    <row r="22" spans="1:13" ht="30" customHeight="1">
      <c r="A22" s="63">
        <f t="shared" si="0"/>
        <v>14</v>
      </c>
      <c r="B22" s="55" t="s">
        <v>61</v>
      </c>
      <c r="C22" s="57" t="s">
        <v>110</v>
      </c>
      <c r="D22" s="58" t="s">
        <v>3</v>
      </c>
      <c r="E22" s="110" t="s">
        <v>53</v>
      </c>
      <c r="F22" s="144" t="s">
        <v>63</v>
      </c>
      <c r="G22" s="145"/>
      <c r="H22" s="76">
        <v>0</v>
      </c>
      <c r="I22" s="64">
        <v>300000</v>
      </c>
      <c r="J22" s="65">
        <f t="shared" si="1"/>
        <v>0</v>
      </c>
      <c r="K22" s="65">
        <f t="shared" si="2"/>
        <v>8.7216666666666665E-2</v>
      </c>
      <c r="L22" s="66">
        <v>26165</v>
      </c>
      <c r="M22" s="62" t="s">
        <v>155</v>
      </c>
    </row>
    <row r="23" spans="1:13" ht="30" customHeight="1">
      <c r="A23" s="56">
        <f t="shared" si="0"/>
        <v>15</v>
      </c>
      <c r="B23" s="55" t="s">
        <v>64</v>
      </c>
      <c r="C23" s="57" t="s">
        <v>100</v>
      </c>
      <c r="D23" s="58" t="s">
        <v>52</v>
      </c>
      <c r="E23" s="110" t="s">
        <v>53</v>
      </c>
      <c r="F23" s="144" t="s">
        <v>62</v>
      </c>
      <c r="G23" s="145"/>
      <c r="H23" s="76">
        <v>0</v>
      </c>
      <c r="I23" s="64">
        <v>1000000</v>
      </c>
      <c r="J23" s="65">
        <f t="shared" si="1"/>
        <v>0</v>
      </c>
      <c r="K23" s="65">
        <f t="shared" si="2"/>
        <v>8.7398000000000003E-2</v>
      </c>
      <c r="L23" s="66">
        <v>87398</v>
      </c>
      <c r="M23" s="62" t="s">
        <v>155</v>
      </c>
    </row>
    <row r="24" spans="1:13" ht="30" customHeight="1">
      <c r="A24" s="63">
        <f t="shared" si="0"/>
        <v>16</v>
      </c>
      <c r="B24" s="55" t="s">
        <v>64</v>
      </c>
      <c r="C24" s="57" t="s">
        <v>102</v>
      </c>
      <c r="D24" s="58" t="s">
        <v>52</v>
      </c>
      <c r="E24" s="110" t="s">
        <v>53</v>
      </c>
      <c r="F24" s="144" t="s">
        <v>55</v>
      </c>
      <c r="G24" s="145"/>
      <c r="H24" s="76">
        <v>0</v>
      </c>
      <c r="I24" s="64">
        <v>741288</v>
      </c>
      <c r="J24" s="65">
        <f t="shared" si="1"/>
        <v>0</v>
      </c>
      <c r="K24" s="65">
        <f t="shared" si="2"/>
        <v>8.6458974109927589E-2</v>
      </c>
      <c r="L24" s="66">
        <v>64091</v>
      </c>
      <c r="M24" s="62" t="s">
        <v>155</v>
      </c>
    </row>
    <row r="25" spans="1:13" ht="30" customHeight="1">
      <c r="A25" s="56">
        <f t="shared" si="0"/>
        <v>17</v>
      </c>
      <c r="B25" s="55" t="s">
        <v>64</v>
      </c>
      <c r="C25" s="57" t="s">
        <v>111</v>
      </c>
      <c r="D25" s="58" t="s">
        <v>52</v>
      </c>
      <c r="E25" s="110" t="s">
        <v>53</v>
      </c>
      <c r="F25" s="144" t="s">
        <v>54</v>
      </c>
      <c r="G25" s="145"/>
      <c r="H25" s="76">
        <v>0</v>
      </c>
      <c r="I25" s="64">
        <v>220000</v>
      </c>
      <c r="J25" s="65">
        <f t="shared" si="1"/>
        <v>0</v>
      </c>
      <c r="K25" s="65">
        <f t="shared" si="2"/>
        <v>8.6831818181818177E-2</v>
      </c>
      <c r="L25" s="66">
        <v>19103</v>
      </c>
      <c r="M25" s="62" t="s">
        <v>155</v>
      </c>
    </row>
    <row r="26" spans="1:13" ht="30" customHeight="1">
      <c r="A26" s="63">
        <f t="shared" si="0"/>
        <v>18</v>
      </c>
      <c r="B26" s="55" t="s">
        <v>65</v>
      </c>
      <c r="C26" s="57" t="s">
        <v>110</v>
      </c>
      <c r="D26" s="58" t="s">
        <v>56</v>
      </c>
      <c r="E26" s="110" t="s">
        <v>53</v>
      </c>
      <c r="F26" s="144" t="s">
        <v>57</v>
      </c>
      <c r="G26" s="145"/>
      <c r="H26" s="76">
        <v>0</v>
      </c>
      <c r="I26" s="64">
        <v>300000</v>
      </c>
      <c r="J26" s="65">
        <f t="shared" si="1"/>
        <v>0</v>
      </c>
      <c r="K26" s="65">
        <f t="shared" si="2"/>
        <v>8.6466666666666664E-2</v>
      </c>
      <c r="L26" s="66">
        <v>25940</v>
      </c>
      <c r="M26" s="62" t="s">
        <v>157</v>
      </c>
    </row>
    <row r="27" spans="1:13" ht="30" customHeight="1">
      <c r="A27" s="56">
        <f t="shared" si="0"/>
        <v>19</v>
      </c>
      <c r="B27" s="55" t="s">
        <v>64</v>
      </c>
      <c r="C27" s="57" t="s">
        <v>112</v>
      </c>
      <c r="D27" s="58" t="s">
        <v>56</v>
      </c>
      <c r="E27" s="110" t="s">
        <v>53</v>
      </c>
      <c r="F27" s="144" t="s">
        <v>58</v>
      </c>
      <c r="G27" s="145"/>
      <c r="H27" s="76">
        <v>0</v>
      </c>
      <c r="I27" s="64">
        <v>92000</v>
      </c>
      <c r="J27" s="65">
        <f t="shared" si="1"/>
        <v>0</v>
      </c>
      <c r="K27" s="65">
        <f t="shared" si="2"/>
        <v>8.6478260869565213E-2</v>
      </c>
      <c r="L27" s="66">
        <v>7956</v>
      </c>
      <c r="M27" s="62" t="s">
        <v>157</v>
      </c>
    </row>
    <row r="28" spans="1:13" ht="30" customHeight="1">
      <c r="A28" s="63">
        <f t="shared" si="0"/>
        <v>20</v>
      </c>
      <c r="B28" s="55" t="s">
        <v>64</v>
      </c>
      <c r="C28" s="57" t="s">
        <v>100</v>
      </c>
      <c r="D28" s="58" t="s">
        <v>56</v>
      </c>
      <c r="E28" s="110" t="s">
        <v>53</v>
      </c>
      <c r="F28" s="144" t="s">
        <v>59</v>
      </c>
      <c r="G28" s="145"/>
      <c r="H28" s="76">
        <v>0</v>
      </c>
      <c r="I28" s="64">
        <v>918000</v>
      </c>
      <c r="J28" s="65">
        <f t="shared" si="1"/>
        <v>0</v>
      </c>
      <c r="K28" s="65">
        <f t="shared" si="2"/>
        <v>8.6669934640522875E-2</v>
      </c>
      <c r="L28" s="66">
        <v>79563</v>
      </c>
      <c r="M28" s="62" t="s">
        <v>157</v>
      </c>
    </row>
    <row r="29" spans="1:13" ht="30" customHeight="1">
      <c r="A29" s="56">
        <f t="shared" si="0"/>
        <v>21</v>
      </c>
      <c r="B29" s="55" t="s">
        <v>64</v>
      </c>
      <c r="C29" s="57" t="s">
        <v>112</v>
      </c>
      <c r="D29" s="58" t="s">
        <v>6</v>
      </c>
      <c r="E29" s="110" t="s">
        <v>87</v>
      </c>
      <c r="F29" s="144" t="s">
        <v>66</v>
      </c>
      <c r="G29" s="145"/>
      <c r="H29" s="76">
        <v>0</v>
      </c>
      <c r="I29" s="64">
        <v>237000</v>
      </c>
      <c r="J29" s="65">
        <f t="shared" si="1"/>
        <v>0</v>
      </c>
      <c r="K29" s="65">
        <f t="shared" si="2"/>
        <v>8.6734177215189875E-2</v>
      </c>
      <c r="L29" s="66">
        <v>20556</v>
      </c>
      <c r="M29" s="62" t="s">
        <v>157</v>
      </c>
    </row>
    <row r="30" spans="1:13" ht="30" customHeight="1">
      <c r="A30" s="63">
        <f t="shared" si="0"/>
        <v>22</v>
      </c>
      <c r="B30" s="55" t="s">
        <v>67</v>
      </c>
      <c r="C30" s="57" t="s">
        <v>113</v>
      </c>
      <c r="D30" s="58" t="s">
        <v>52</v>
      </c>
      <c r="E30" s="110" t="s">
        <v>53</v>
      </c>
      <c r="F30" s="144" t="s">
        <v>62</v>
      </c>
      <c r="G30" s="145"/>
      <c r="H30" s="76">
        <v>0</v>
      </c>
      <c r="I30" s="64">
        <v>474189</v>
      </c>
      <c r="J30" s="65">
        <f t="shared" si="1"/>
        <v>0</v>
      </c>
      <c r="K30" s="65">
        <f t="shared" si="2"/>
        <v>8.6178717768653421E-2</v>
      </c>
      <c r="L30" s="66">
        <v>40865</v>
      </c>
      <c r="M30" s="62" t="s">
        <v>155</v>
      </c>
    </row>
    <row r="31" spans="1:13" ht="30" customHeight="1">
      <c r="A31" s="146" t="s">
        <v>69</v>
      </c>
      <c r="B31" s="147"/>
      <c r="C31" s="148"/>
      <c r="D31" s="67"/>
      <c r="E31" s="112"/>
      <c r="F31" s="149"/>
      <c r="G31" s="150"/>
      <c r="H31" s="69">
        <f>SUM(H9:H30)</f>
        <v>0</v>
      </c>
      <c r="I31" s="68">
        <f>SUM(I9:I30)</f>
        <v>14923193</v>
      </c>
      <c r="J31" s="69"/>
      <c r="K31" s="69"/>
      <c r="L31" s="68">
        <f>SUM(L9:L30)</f>
        <v>1830259</v>
      </c>
      <c r="M31" s="70"/>
    </row>
    <row r="32" spans="1:13">
      <c r="L32" s="109"/>
    </row>
  </sheetData>
  <autoFilter ref="A7:Z7" xr:uid="{EE81645B-5039-408B-9981-03C096E6E9A8}">
    <filterColumn colId="5" showButton="0"/>
    <filterColumn colId="7" showButton="0"/>
  </autoFilter>
  <mergeCells count="37">
    <mergeCell ref="F13:G13"/>
    <mergeCell ref="A2:M3"/>
    <mergeCell ref="A5:M5"/>
    <mergeCell ref="B7:B8"/>
    <mergeCell ref="A7:A8"/>
    <mergeCell ref="C7:C8"/>
    <mergeCell ref="D7:D8"/>
    <mergeCell ref="E7:E8"/>
    <mergeCell ref="F7:G8"/>
    <mergeCell ref="H7:I7"/>
    <mergeCell ref="J7:J8"/>
    <mergeCell ref="K7:K8"/>
    <mergeCell ref="L7:L8"/>
    <mergeCell ref="M7:M8"/>
    <mergeCell ref="F11:G11"/>
    <mergeCell ref="F12:G12"/>
    <mergeCell ref="F20:G20"/>
    <mergeCell ref="F21:G21"/>
    <mergeCell ref="F22:G22"/>
    <mergeCell ref="F23:G23"/>
    <mergeCell ref="F24:G24"/>
    <mergeCell ref="F10:G10"/>
    <mergeCell ref="F9:G9"/>
    <mergeCell ref="A31:C31"/>
    <mergeCell ref="F31:G31"/>
    <mergeCell ref="F26:G26"/>
    <mergeCell ref="F27:G27"/>
    <mergeCell ref="F28:G28"/>
    <mergeCell ref="F29:G29"/>
    <mergeCell ref="F30:G30"/>
    <mergeCell ref="F25:G25"/>
    <mergeCell ref="F14:G14"/>
    <mergeCell ref="F15:G15"/>
    <mergeCell ref="F16:G16"/>
    <mergeCell ref="F17:G17"/>
    <mergeCell ref="F18:G18"/>
    <mergeCell ref="F19:G19"/>
  </mergeCells>
  <phoneticPr fontId="5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8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454315-58EA-4AC3-A1D8-B5E8182E156B}">
          <x14:formula1>
            <xm:f>'4.분류'!$B$3:$B$15</xm:f>
          </x14:formula1>
          <xm:sqref>D9:D30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5131-5672-468E-B027-158793F0B92C}">
  <sheetPr>
    <tabColor rgb="FFFFFF00"/>
    <pageSetUpPr fitToPage="1"/>
  </sheetPr>
  <dimension ref="A1:N14"/>
  <sheetViews>
    <sheetView showGridLines="0" view="pageBreakPreview" zoomScaleNormal="90" zoomScaleSheetLayoutView="100" workbookViewId="0">
      <pane ySplit="8" topLeftCell="A9" activePane="bottomLeft" state="frozen"/>
      <selection activeCell="H31" sqref="H31"/>
      <selection pane="bottomLeft" activeCell="A9" sqref="A9"/>
    </sheetView>
  </sheetViews>
  <sheetFormatPr defaultColWidth="8.44140625" defaultRowHeight="16.5"/>
  <cols>
    <col min="1" max="1" width="4.77734375" style="50" customWidth="1"/>
    <col min="2" max="2" width="10.33203125" style="71" customWidth="1"/>
    <col min="3" max="3" width="13.6640625" style="71" customWidth="1"/>
    <col min="4" max="4" width="11.109375" style="50" customWidth="1"/>
    <col min="5" max="5" width="9.77734375" style="50" customWidth="1"/>
    <col min="6" max="6" width="13.77734375" style="50" customWidth="1"/>
    <col min="7" max="7" width="10.5546875" style="50" customWidth="1"/>
    <col min="8" max="8" width="10.109375" style="50" customWidth="1"/>
    <col min="9" max="9" width="9.6640625" style="50" customWidth="1"/>
    <col min="10" max="11" width="9.88671875" style="72" customWidth="1"/>
    <col min="12" max="12" width="14.44140625" style="50" customWidth="1"/>
    <col min="13" max="13" width="19.88671875" style="50" customWidth="1"/>
    <col min="14" max="14" width="8.109375" style="50" customWidth="1"/>
    <col min="15" max="15" width="6.21875" style="50" customWidth="1"/>
    <col min="16" max="25" width="10" style="50" customWidth="1"/>
    <col min="26" max="26" width="2.44140625" style="50" customWidth="1"/>
    <col min="27" max="16384" width="8.44140625" style="50"/>
  </cols>
  <sheetData>
    <row r="1" spans="1:14" ht="5.0999999999999996" customHeight="1">
      <c r="A1" s="46"/>
      <c r="B1" s="47"/>
      <c r="C1" s="47"/>
      <c r="D1" s="46"/>
      <c r="E1" s="46"/>
      <c r="F1" s="48"/>
      <c r="G1" s="48"/>
      <c r="H1" s="46"/>
      <c r="I1" s="46"/>
      <c r="J1" s="49"/>
      <c r="K1" s="49"/>
      <c r="L1" s="48"/>
      <c r="M1" s="48"/>
      <c r="N1" s="48"/>
    </row>
    <row r="2" spans="1:14" ht="24.95" customHeight="1">
      <c r="A2" s="151" t="s">
        <v>35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</row>
    <row r="3" spans="1:14" ht="24.95" customHeight="1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</row>
    <row r="4" spans="1:14" ht="5.0999999999999996" customHeight="1">
      <c r="A4" s="46"/>
      <c r="B4" s="47"/>
      <c r="C4" s="47"/>
      <c r="D4" s="46"/>
      <c r="E4" s="46"/>
      <c r="F4" s="48"/>
      <c r="G4" s="48"/>
      <c r="H4" s="46"/>
      <c r="I4" s="46"/>
      <c r="J4" s="49"/>
      <c r="K4" s="49"/>
      <c r="L4" s="48"/>
      <c r="M4" s="48"/>
      <c r="N4" s="48"/>
    </row>
    <row r="5" spans="1:14" s="52" customFormat="1" ht="24.95" customHeight="1">
      <c r="A5" s="152" t="s">
        <v>70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51"/>
    </row>
    <row r="6" spans="1:14" ht="20.100000000000001" customHeight="1">
      <c r="A6" s="53" t="s">
        <v>37</v>
      </c>
      <c r="B6" s="47"/>
      <c r="C6" s="47"/>
      <c r="D6" s="46"/>
      <c r="E6" s="46"/>
      <c r="F6" s="48"/>
      <c r="G6" s="48"/>
      <c r="H6" s="46"/>
      <c r="I6" s="46"/>
      <c r="J6" s="49"/>
      <c r="K6" s="49"/>
      <c r="L6" s="48"/>
      <c r="M6" s="48"/>
      <c r="N6" s="48"/>
    </row>
    <row r="7" spans="1:14" ht="20.100000000000001" customHeight="1">
      <c r="A7" s="167" t="s">
        <v>39</v>
      </c>
      <c r="B7" s="171" t="s">
        <v>38</v>
      </c>
      <c r="C7" s="167" t="s">
        <v>40</v>
      </c>
      <c r="D7" s="171" t="s">
        <v>41</v>
      </c>
      <c r="E7" s="171" t="s">
        <v>42</v>
      </c>
      <c r="F7" s="171" t="s">
        <v>43</v>
      </c>
      <c r="G7" s="171"/>
      <c r="H7" s="171" t="s">
        <v>44</v>
      </c>
      <c r="I7" s="171"/>
      <c r="J7" s="163" t="s">
        <v>45</v>
      </c>
      <c r="K7" s="163" t="s">
        <v>46</v>
      </c>
      <c r="L7" s="171" t="s">
        <v>47</v>
      </c>
      <c r="M7" s="171" t="s">
        <v>48</v>
      </c>
    </row>
    <row r="8" spans="1:14" ht="20.100000000000001" customHeight="1">
      <c r="A8" s="167"/>
      <c r="B8" s="171"/>
      <c r="C8" s="167"/>
      <c r="D8" s="171"/>
      <c r="E8" s="171"/>
      <c r="F8" s="171"/>
      <c r="G8" s="171"/>
      <c r="H8" s="54" t="s">
        <v>49</v>
      </c>
      <c r="I8" s="54" t="str">
        <f>'2-1출장경비 법인카드'!I8</f>
        <v>IDR</v>
      </c>
      <c r="J8" s="164"/>
      <c r="K8" s="164"/>
      <c r="L8" s="171"/>
      <c r="M8" s="171"/>
    </row>
    <row r="9" spans="1:14" ht="30" customHeight="1">
      <c r="A9" s="56">
        <f>ROW()-8</f>
        <v>1</v>
      </c>
      <c r="B9" s="55" t="s">
        <v>51</v>
      </c>
      <c r="C9" s="73" t="s">
        <v>71</v>
      </c>
      <c r="D9" s="58" t="s">
        <v>164</v>
      </c>
      <c r="E9" s="59" t="s">
        <v>72</v>
      </c>
      <c r="F9" s="169" t="s">
        <v>73</v>
      </c>
      <c r="G9" s="169"/>
      <c r="H9" s="74">
        <v>10</v>
      </c>
      <c r="I9" s="60"/>
      <c r="J9" s="61">
        <f>'출장비 정산(원화지급원화회수)'!I5</f>
        <v>1470</v>
      </c>
      <c r="K9" s="61">
        <f>'출장비 정산(원화지급원화회수)'!I6</f>
        <v>0.09</v>
      </c>
      <c r="L9" s="60">
        <f>ROUND((H9*J9)+(I9*K9),0)</f>
        <v>14700</v>
      </c>
      <c r="M9" s="62" t="s">
        <v>155</v>
      </c>
    </row>
    <row r="10" spans="1:14" ht="30" customHeight="1">
      <c r="A10" s="56">
        <f t="shared" ref="A10:A13" si="0">ROW()-8</f>
        <v>2</v>
      </c>
      <c r="B10" s="55" t="s">
        <v>51</v>
      </c>
      <c r="C10" s="73" t="s">
        <v>74</v>
      </c>
      <c r="D10" s="58" t="s">
        <v>52</v>
      </c>
      <c r="E10" s="59" t="s">
        <v>72</v>
      </c>
      <c r="F10" s="169" t="s">
        <v>54</v>
      </c>
      <c r="G10" s="169"/>
      <c r="H10" s="74"/>
      <c r="I10" s="60">
        <v>1472900</v>
      </c>
      <c r="J10" s="61">
        <v>1470</v>
      </c>
      <c r="K10" s="61">
        <v>0.09</v>
      </c>
      <c r="L10" s="60">
        <f>ROUND((H10*J10)+(I10*K10),0)</f>
        <v>132561</v>
      </c>
      <c r="M10" s="62" t="s">
        <v>155</v>
      </c>
    </row>
    <row r="11" spans="1:14" ht="30" customHeight="1">
      <c r="A11" s="56">
        <f t="shared" si="0"/>
        <v>3</v>
      </c>
      <c r="B11" s="55" t="s">
        <v>51</v>
      </c>
      <c r="C11" s="75" t="s">
        <v>75</v>
      </c>
      <c r="D11" s="58" t="s">
        <v>52</v>
      </c>
      <c r="E11" s="59" t="s">
        <v>34</v>
      </c>
      <c r="F11" s="170" t="s">
        <v>55</v>
      </c>
      <c r="G11" s="170"/>
      <c r="H11" s="76">
        <v>100</v>
      </c>
      <c r="I11" s="64">
        <v>0</v>
      </c>
      <c r="J11" s="65">
        <v>1470</v>
      </c>
      <c r="K11" s="65">
        <v>0.09</v>
      </c>
      <c r="L11" s="66">
        <f t="shared" ref="L11:L13" si="1">ROUND((H11*J11)+(I11*K11),0)</f>
        <v>147000</v>
      </c>
      <c r="M11" s="62" t="s">
        <v>155</v>
      </c>
    </row>
    <row r="12" spans="1:14" ht="30" customHeight="1">
      <c r="A12" s="56">
        <f t="shared" si="0"/>
        <v>4</v>
      </c>
      <c r="B12" s="55" t="s">
        <v>51</v>
      </c>
      <c r="C12" s="73" t="s">
        <v>76</v>
      </c>
      <c r="D12" s="58" t="s">
        <v>56</v>
      </c>
      <c r="E12" s="59" t="s">
        <v>72</v>
      </c>
      <c r="F12" s="170" t="s">
        <v>57</v>
      </c>
      <c r="G12" s="170"/>
      <c r="H12" s="76"/>
      <c r="I12" s="64">
        <v>320000</v>
      </c>
      <c r="J12" s="65">
        <v>1470</v>
      </c>
      <c r="K12" s="65">
        <v>0.09</v>
      </c>
      <c r="L12" s="66">
        <f t="shared" si="1"/>
        <v>28800</v>
      </c>
      <c r="M12" s="62" t="s">
        <v>157</v>
      </c>
    </row>
    <row r="13" spans="1:14" ht="30" customHeight="1">
      <c r="A13" s="56">
        <f t="shared" si="0"/>
        <v>5</v>
      </c>
      <c r="B13" s="55" t="s">
        <v>51</v>
      </c>
      <c r="C13" s="73" t="s">
        <v>77</v>
      </c>
      <c r="D13" s="58" t="s">
        <v>56</v>
      </c>
      <c r="E13" s="59" t="s">
        <v>72</v>
      </c>
      <c r="F13" s="170" t="s">
        <v>58</v>
      </c>
      <c r="G13" s="170"/>
      <c r="H13" s="76"/>
      <c r="I13" s="64">
        <v>320000</v>
      </c>
      <c r="J13" s="65">
        <v>1470</v>
      </c>
      <c r="K13" s="65">
        <v>0.09</v>
      </c>
      <c r="L13" s="66">
        <f t="shared" si="1"/>
        <v>28800</v>
      </c>
      <c r="M13" s="62" t="s">
        <v>157</v>
      </c>
    </row>
    <row r="14" spans="1:14" ht="30" customHeight="1">
      <c r="A14" s="167" t="s">
        <v>69</v>
      </c>
      <c r="B14" s="167"/>
      <c r="C14" s="167"/>
      <c r="D14" s="67"/>
      <c r="E14" s="67"/>
      <c r="F14" s="168"/>
      <c r="G14" s="168"/>
      <c r="H14" s="69">
        <f>SUM(H9:H13)</f>
        <v>110</v>
      </c>
      <c r="I14" s="68">
        <f>SUM(I9:I13)</f>
        <v>2112900</v>
      </c>
      <c r="J14" s="69"/>
      <c r="K14" s="69"/>
      <c r="L14" s="68">
        <f>SUM(L9:L13)</f>
        <v>351861</v>
      </c>
      <c r="M14" s="70"/>
    </row>
  </sheetData>
  <autoFilter ref="A7:Z7" xr:uid="{C3705131-5672-468E-B027-158793F0B92C}">
    <filterColumn colId="5" showButton="0"/>
    <filterColumn colId="7" showButton="0"/>
  </autoFilter>
  <mergeCells count="20">
    <mergeCell ref="A2:M3"/>
    <mergeCell ref="A5:M5"/>
    <mergeCell ref="B7:B8"/>
    <mergeCell ref="A7:A8"/>
    <mergeCell ref="C7:C8"/>
    <mergeCell ref="D7:D8"/>
    <mergeCell ref="E7:E8"/>
    <mergeCell ref="F7:G8"/>
    <mergeCell ref="H7:I7"/>
    <mergeCell ref="J7:J8"/>
    <mergeCell ref="L7:L8"/>
    <mergeCell ref="M7:M8"/>
    <mergeCell ref="A14:C14"/>
    <mergeCell ref="F14:G14"/>
    <mergeCell ref="K7:K8"/>
    <mergeCell ref="F9:G9"/>
    <mergeCell ref="F10:G10"/>
    <mergeCell ref="F11:G11"/>
    <mergeCell ref="F12:G12"/>
    <mergeCell ref="F13:G13"/>
  </mergeCells>
  <phoneticPr fontId="5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4B8493-2CE4-49D3-8BA9-513E01E19C04}">
          <x14:formula1>
            <xm:f>'4.분류'!$B$3:$B$15</xm:f>
          </x14:formula1>
          <xm:sqref>D9:D13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AA46-4E9D-41EA-9419-0E0720CEFF05}">
  <sheetPr>
    <tabColor rgb="FFFFFF00"/>
    <pageSetUpPr fitToPage="1"/>
  </sheetPr>
  <dimension ref="A1:N12"/>
  <sheetViews>
    <sheetView showGridLines="0" view="pageBreakPreview" zoomScaleNormal="90" zoomScaleSheetLayoutView="100" workbookViewId="0">
      <pane ySplit="8" topLeftCell="A9" activePane="bottomLeft" state="frozen"/>
      <selection activeCell="H31" sqref="H31"/>
      <selection pane="bottomLeft" activeCell="A9" sqref="A9"/>
    </sheetView>
  </sheetViews>
  <sheetFormatPr defaultColWidth="8.44140625" defaultRowHeight="16.5"/>
  <cols>
    <col min="1" max="1" width="4.77734375" style="50" customWidth="1"/>
    <col min="2" max="2" width="10.33203125" style="71" customWidth="1"/>
    <col min="3" max="3" width="13.6640625" style="71" customWidth="1"/>
    <col min="4" max="4" width="11.109375" style="50" customWidth="1"/>
    <col min="5" max="5" width="9.77734375" style="50" customWidth="1"/>
    <col min="6" max="6" width="13.77734375" style="50" customWidth="1"/>
    <col min="7" max="7" width="10.5546875" style="50" customWidth="1"/>
    <col min="8" max="8" width="10.109375" style="50" customWidth="1"/>
    <col min="9" max="9" width="9.6640625" style="50" customWidth="1"/>
    <col min="10" max="11" width="9.88671875" style="72" customWidth="1"/>
    <col min="12" max="12" width="14.44140625" style="50" customWidth="1"/>
    <col min="13" max="13" width="19.88671875" style="50" customWidth="1"/>
    <col min="14" max="14" width="8.109375" style="50" customWidth="1"/>
    <col min="15" max="15" width="6.21875" style="50" customWidth="1"/>
    <col min="16" max="25" width="10" style="50" customWidth="1"/>
    <col min="26" max="26" width="2.44140625" style="50" customWidth="1"/>
    <col min="27" max="16384" width="8.44140625" style="50"/>
  </cols>
  <sheetData>
    <row r="1" spans="1:14" ht="5.0999999999999996" customHeight="1">
      <c r="A1" s="46"/>
      <c r="B1" s="47"/>
      <c r="C1" s="47"/>
      <c r="D1" s="46"/>
      <c r="E1" s="46"/>
      <c r="F1" s="48"/>
      <c r="G1" s="48"/>
      <c r="H1" s="46"/>
      <c r="I1" s="46"/>
      <c r="J1" s="49"/>
      <c r="K1" s="49"/>
      <c r="L1" s="48"/>
      <c r="M1" s="48"/>
      <c r="N1" s="48"/>
    </row>
    <row r="2" spans="1:14" ht="24.95" customHeight="1">
      <c r="A2" s="151" t="s">
        <v>35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</row>
    <row r="3" spans="1:14" ht="24.95" customHeight="1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</row>
    <row r="4" spans="1:14" ht="5.0999999999999996" customHeight="1">
      <c r="A4" s="46"/>
      <c r="B4" s="47"/>
      <c r="C4" s="47"/>
      <c r="D4" s="46"/>
      <c r="E4" s="46"/>
      <c r="F4" s="48"/>
      <c r="G4" s="48"/>
      <c r="H4" s="46"/>
      <c r="I4" s="46"/>
      <c r="J4" s="49"/>
      <c r="K4" s="49"/>
      <c r="L4" s="48"/>
      <c r="M4" s="48"/>
      <c r="N4" s="48"/>
    </row>
    <row r="5" spans="1:14" s="52" customFormat="1" ht="24.95" customHeight="1">
      <c r="A5" s="152" t="s">
        <v>78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51"/>
    </row>
    <row r="6" spans="1:14" ht="20.100000000000001" customHeight="1">
      <c r="A6" s="53" t="s">
        <v>37</v>
      </c>
      <c r="B6" s="47"/>
      <c r="C6" s="47"/>
      <c r="D6" s="46"/>
      <c r="E6" s="46"/>
      <c r="F6" s="48"/>
      <c r="G6" s="48"/>
      <c r="H6" s="46"/>
      <c r="I6" s="46"/>
      <c r="J6" s="49"/>
      <c r="K6" s="49"/>
      <c r="L6" s="48"/>
      <c r="M6" s="48"/>
      <c r="N6" s="48"/>
    </row>
    <row r="7" spans="1:14" ht="20.100000000000001" customHeight="1">
      <c r="A7" s="167" t="s">
        <v>39</v>
      </c>
      <c r="B7" s="171" t="s">
        <v>38</v>
      </c>
      <c r="C7" s="167" t="s">
        <v>40</v>
      </c>
      <c r="D7" s="171" t="s">
        <v>41</v>
      </c>
      <c r="E7" s="171" t="s">
        <v>42</v>
      </c>
      <c r="F7" s="171" t="s">
        <v>43</v>
      </c>
      <c r="G7" s="171"/>
      <c r="H7" s="171" t="s">
        <v>44</v>
      </c>
      <c r="I7" s="171"/>
      <c r="J7" s="163" t="s">
        <v>45</v>
      </c>
      <c r="K7" s="163" t="s">
        <v>46</v>
      </c>
      <c r="L7" s="171" t="s">
        <v>47</v>
      </c>
      <c r="M7" s="171" t="s">
        <v>48</v>
      </c>
    </row>
    <row r="8" spans="1:14" ht="20.100000000000001" customHeight="1">
      <c r="A8" s="167"/>
      <c r="B8" s="171"/>
      <c r="C8" s="167"/>
      <c r="D8" s="171"/>
      <c r="E8" s="171"/>
      <c r="F8" s="171"/>
      <c r="G8" s="171"/>
      <c r="H8" s="54" t="s">
        <v>49</v>
      </c>
      <c r="I8" s="54" t="str">
        <f>'2-2출장경비 현금'!I8</f>
        <v>IDR</v>
      </c>
      <c r="J8" s="164"/>
      <c r="K8" s="164"/>
      <c r="L8" s="171"/>
      <c r="M8" s="171"/>
    </row>
    <row r="9" spans="1:14" ht="30" customHeight="1">
      <c r="A9" s="56">
        <f>ROW()-8</f>
        <v>1</v>
      </c>
      <c r="B9" s="55" t="s">
        <v>51</v>
      </c>
      <c r="C9" s="73" t="s">
        <v>68</v>
      </c>
      <c r="D9" s="58" t="s">
        <v>3</v>
      </c>
      <c r="E9" s="59" t="s">
        <v>28</v>
      </c>
      <c r="F9" s="169" t="s">
        <v>79</v>
      </c>
      <c r="G9" s="169"/>
      <c r="H9" s="74">
        <v>0</v>
      </c>
      <c r="I9" s="74">
        <v>0</v>
      </c>
      <c r="J9" s="61">
        <v>0</v>
      </c>
      <c r="K9" s="61">
        <v>0</v>
      </c>
      <c r="L9" s="60">
        <v>18000</v>
      </c>
      <c r="M9" s="62" t="s">
        <v>155</v>
      </c>
    </row>
    <row r="10" spans="1:14" ht="30" customHeight="1">
      <c r="A10" s="56">
        <f t="shared" ref="A10:A11" si="0">ROW()-8</f>
        <v>2</v>
      </c>
      <c r="B10" s="55" t="s">
        <v>51</v>
      </c>
      <c r="C10" s="73" t="s">
        <v>80</v>
      </c>
      <c r="D10" s="58" t="s">
        <v>10</v>
      </c>
      <c r="E10" s="59" t="s">
        <v>28</v>
      </c>
      <c r="F10" s="170" t="s">
        <v>81</v>
      </c>
      <c r="G10" s="170"/>
      <c r="H10" s="76">
        <v>0</v>
      </c>
      <c r="I10" s="76">
        <v>0</v>
      </c>
      <c r="J10" s="65">
        <v>0</v>
      </c>
      <c r="K10" s="65">
        <v>0</v>
      </c>
      <c r="L10" s="66">
        <v>18000</v>
      </c>
      <c r="M10" s="62" t="s">
        <v>155</v>
      </c>
    </row>
    <row r="11" spans="1:14" ht="30" customHeight="1">
      <c r="A11" s="63">
        <f t="shared" si="0"/>
        <v>3</v>
      </c>
      <c r="B11" s="55" t="s">
        <v>82</v>
      </c>
      <c r="C11" s="73" t="s">
        <v>80</v>
      </c>
      <c r="D11" s="58" t="s">
        <v>3</v>
      </c>
      <c r="E11" s="59" t="s">
        <v>28</v>
      </c>
      <c r="F11" s="170" t="s">
        <v>83</v>
      </c>
      <c r="G11" s="170"/>
      <c r="H11" s="76">
        <v>0</v>
      </c>
      <c r="I11" s="76">
        <v>0</v>
      </c>
      <c r="J11" s="65">
        <v>0</v>
      </c>
      <c r="K11" s="65">
        <v>0</v>
      </c>
      <c r="L11" s="66">
        <v>18000</v>
      </c>
      <c r="M11" s="62" t="s">
        <v>155</v>
      </c>
    </row>
    <row r="12" spans="1:14" ht="30" customHeight="1">
      <c r="A12" s="167" t="s">
        <v>69</v>
      </c>
      <c r="B12" s="167"/>
      <c r="C12" s="167"/>
      <c r="D12" s="67"/>
      <c r="E12" s="67"/>
      <c r="F12" s="168"/>
      <c r="G12" s="168"/>
      <c r="H12" s="68">
        <f>SUM(H9:H11)</f>
        <v>0</v>
      </c>
      <c r="I12" s="69">
        <f>SUM(I9:I11)</f>
        <v>0</v>
      </c>
      <c r="J12" s="69"/>
      <c r="K12" s="69"/>
      <c r="L12" s="68">
        <f>SUM(L9:L11)</f>
        <v>54000</v>
      </c>
      <c r="M12" s="70"/>
    </row>
  </sheetData>
  <autoFilter ref="A7:Z7" xr:uid="{9DEAAA46-4E9D-41EA-9419-0E0720CEFF05}">
    <filterColumn colId="5" showButton="0"/>
    <filterColumn colId="7" showButton="0"/>
  </autoFilter>
  <mergeCells count="18">
    <mergeCell ref="A2:M3"/>
    <mergeCell ref="A5:M5"/>
    <mergeCell ref="B7:B8"/>
    <mergeCell ref="A7:A8"/>
    <mergeCell ref="C7:C8"/>
    <mergeCell ref="D7:D8"/>
    <mergeCell ref="E7:E8"/>
    <mergeCell ref="F7:G8"/>
    <mergeCell ref="H7:I7"/>
    <mergeCell ref="J7:J8"/>
    <mergeCell ref="A12:C12"/>
    <mergeCell ref="F12:G12"/>
    <mergeCell ref="K7:K8"/>
    <mergeCell ref="L7:L8"/>
    <mergeCell ref="M7:M8"/>
    <mergeCell ref="F9:G9"/>
    <mergeCell ref="F10:G10"/>
    <mergeCell ref="F11:G11"/>
  </mergeCells>
  <phoneticPr fontId="5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041BB6-694B-494F-A812-EF416D284850}">
          <x14:formula1>
            <xm:f>'4.분류'!$B$3:$B$15</xm:f>
          </x14:formula1>
          <xm:sqref>D9:D11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37E5F-98AD-45AA-9EDC-6F7220E3C2AB}">
  <sheetPr>
    <pageSetUpPr fitToPage="1"/>
  </sheetPr>
  <dimension ref="B1:N42"/>
  <sheetViews>
    <sheetView showGridLines="0" topLeftCell="A19" zoomScaleNormal="100" workbookViewId="0">
      <selection activeCell="Q9" sqref="Q9"/>
    </sheetView>
  </sheetViews>
  <sheetFormatPr defaultRowHeight="16.5"/>
  <cols>
    <col min="1" max="1" width="2.109375" style="77" customWidth="1"/>
    <col min="2" max="2" width="8.88671875" style="77"/>
    <col min="3" max="3" width="9.88671875" style="77" bestFit="1" customWidth="1"/>
    <col min="4" max="4" width="8.88671875" style="77"/>
    <col min="5" max="5" width="9.88671875" style="77" customWidth="1"/>
    <col min="6" max="6" width="11.33203125" style="77" customWidth="1"/>
    <col min="7" max="7" width="5.109375" style="77" customWidth="1"/>
    <col min="8" max="8" width="4.109375" style="77" customWidth="1"/>
    <col min="9" max="13" width="8.88671875" style="77"/>
    <col min="14" max="14" width="9.88671875" style="77" customWidth="1"/>
    <col min="15" max="15" width="2" style="77" customWidth="1"/>
    <col min="16" max="16384" width="8.88671875" style="77"/>
  </cols>
  <sheetData>
    <row r="1" spans="2:14" ht="17.25" thickBot="1"/>
    <row r="2" spans="2:14">
      <c r="B2" s="179" t="s">
        <v>90</v>
      </c>
      <c r="C2" s="180"/>
      <c r="D2" s="180"/>
      <c r="E2" s="180"/>
      <c r="F2" s="180"/>
      <c r="G2" s="181"/>
      <c r="I2" s="179" t="s">
        <v>90</v>
      </c>
      <c r="J2" s="180"/>
      <c r="K2" s="180"/>
      <c r="L2" s="180"/>
      <c r="M2" s="180"/>
      <c r="N2" s="181"/>
    </row>
    <row r="3" spans="2:14">
      <c r="B3" s="182"/>
      <c r="C3" s="183"/>
      <c r="D3" s="183"/>
      <c r="E3" s="183"/>
      <c r="F3" s="183"/>
      <c r="G3" s="184"/>
      <c r="I3" s="182"/>
      <c r="J3" s="183"/>
      <c r="K3" s="183"/>
      <c r="L3" s="183"/>
      <c r="M3" s="183"/>
      <c r="N3" s="184"/>
    </row>
    <row r="4" spans="2:14">
      <c r="B4" s="182"/>
      <c r="C4" s="183"/>
      <c r="D4" s="183"/>
      <c r="E4" s="183"/>
      <c r="F4" s="183"/>
      <c r="G4" s="184"/>
      <c r="I4" s="182"/>
      <c r="J4" s="183"/>
      <c r="K4" s="183"/>
      <c r="L4" s="183"/>
      <c r="M4" s="183"/>
      <c r="N4" s="184"/>
    </row>
    <row r="5" spans="2:14" ht="9" customHeight="1">
      <c r="B5" s="182"/>
      <c r="C5" s="183"/>
      <c r="D5" s="183"/>
      <c r="E5" s="183"/>
      <c r="F5" s="183"/>
      <c r="G5" s="184"/>
      <c r="I5" s="182"/>
      <c r="J5" s="183"/>
      <c r="K5" s="183"/>
      <c r="L5" s="183"/>
      <c r="M5" s="183"/>
      <c r="N5" s="184"/>
    </row>
    <row r="6" spans="2:14" ht="10.5" customHeight="1">
      <c r="B6" s="78"/>
      <c r="C6" s="79"/>
      <c r="D6" s="79"/>
      <c r="E6" s="79"/>
      <c r="F6" s="79"/>
      <c r="G6" s="80"/>
      <c r="I6" s="78"/>
      <c r="J6" s="79"/>
      <c r="K6" s="79"/>
      <c r="L6" s="79"/>
      <c r="M6" s="79"/>
      <c r="N6" s="80"/>
    </row>
    <row r="7" spans="2:14" ht="32.25" customHeight="1" thickBot="1">
      <c r="B7" s="81" t="s">
        <v>91</v>
      </c>
      <c r="C7" s="89">
        <v>45658</v>
      </c>
      <c r="D7" s="82"/>
      <c r="E7" s="82"/>
      <c r="F7" s="82"/>
      <c r="G7" s="83"/>
      <c r="I7" s="81" t="s">
        <v>91</v>
      </c>
      <c r="J7" s="82"/>
      <c r="K7" s="82"/>
      <c r="L7" s="82"/>
      <c r="M7" s="82"/>
      <c r="N7" s="83"/>
    </row>
    <row r="8" spans="2:14" ht="32.25" customHeight="1" thickBot="1">
      <c r="B8" s="81" t="s">
        <v>92</v>
      </c>
      <c r="C8" s="82"/>
      <c r="D8" s="82"/>
      <c r="E8" s="82"/>
      <c r="F8" s="82"/>
      <c r="G8" s="83"/>
      <c r="I8" s="81" t="s">
        <v>92</v>
      </c>
      <c r="J8" s="82"/>
      <c r="K8" s="82"/>
      <c r="L8" s="82"/>
      <c r="M8" s="82"/>
      <c r="N8" s="83"/>
    </row>
    <row r="9" spans="2:14" ht="32.25" customHeight="1" thickBot="1">
      <c r="B9" s="81" t="s">
        <v>93</v>
      </c>
      <c r="C9" s="82"/>
      <c r="D9" s="82"/>
      <c r="E9" s="82"/>
      <c r="F9" s="82"/>
      <c r="G9" s="83"/>
      <c r="I9" s="81" t="s">
        <v>93</v>
      </c>
      <c r="J9" s="82"/>
      <c r="K9" s="82"/>
      <c r="L9" s="82"/>
      <c r="M9" s="82"/>
      <c r="N9" s="83"/>
    </row>
    <row r="10" spans="2:14" ht="32.25" customHeight="1" thickBot="1">
      <c r="B10" s="81" t="s">
        <v>94</v>
      </c>
      <c r="C10" s="82"/>
      <c r="D10" s="82"/>
      <c r="E10" s="82"/>
      <c r="F10" s="82"/>
      <c r="G10" s="83"/>
      <c r="I10" s="81" t="s">
        <v>94</v>
      </c>
      <c r="J10" s="82"/>
      <c r="K10" s="82"/>
      <c r="L10" s="82"/>
      <c r="M10" s="82"/>
      <c r="N10" s="83"/>
    </row>
    <row r="11" spans="2:14" ht="32.25" customHeight="1" thickBot="1">
      <c r="B11" s="81" t="s">
        <v>95</v>
      </c>
      <c r="C11" s="82"/>
      <c r="D11" s="82"/>
      <c r="E11" s="82"/>
      <c r="F11" s="82"/>
      <c r="G11" s="83"/>
      <c r="I11" s="81" t="s">
        <v>95</v>
      </c>
      <c r="J11" s="82"/>
      <c r="K11" s="82"/>
      <c r="L11" s="82"/>
      <c r="M11" s="82"/>
      <c r="N11" s="83"/>
    </row>
    <row r="12" spans="2:14" ht="32.25" customHeight="1" thickBot="1">
      <c r="B12" s="81" t="s">
        <v>96</v>
      </c>
      <c r="C12" s="108" t="s">
        <v>189</v>
      </c>
      <c r="D12" s="82"/>
      <c r="E12" s="82"/>
      <c r="F12" s="82"/>
      <c r="G12" s="83"/>
      <c r="I12" s="81" t="s">
        <v>96</v>
      </c>
      <c r="J12" s="82"/>
      <c r="K12" s="82"/>
      <c r="L12" s="82"/>
      <c r="M12" s="82"/>
      <c r="N12" s="83"/>
    </row>
    <row r="13" spans="2:14" ht="26.25">
      <c r="B13" s="81"/>
      <c r="G13" s="83"/>
      <c r="I13" s="81"/>
      <c r="N13" s="83"/>
    </row>
    <row r="14" spans="2:14" ht="26.25">
      <c r="B14" s="84"/>
      <c r="D14" s="85"/>
      <c r="E14" s="86" t="s">
        <v>97</v>
      </c>
      <c r="F14" s="87"/>
      <c r="G14" s="83"/>
      <c r="I14" s="84"/>
      <c r="K14" s="85"/>
      <c r="L14" s="86" t="s">
        <v>97</v>
      </c>
      <c r="M14" s="87"/>
      <c r="N14" s="83"/>
    </row>
    <row r="15" spans="2:14">
      <c r="B15" s="88"/>
      <c r="G15" s="83"/>
      <c r="I15" s="88"/>
      <c r="N15" s="83"/>
    </row>
    <row r="16" spans="2:14">
      <c r="B16" s="172" t="s">
        <v>98</v>
      </c>
      <c r="C16" s="173"/>
      <c r="D16" s="173"/>
      <c r="E16" s="173"/>
      <c r="F16" s="173"/>
      <c r="G16" s="174"/>
      <c r="I16" s="172" t="s">
        <v>98</v>
      </c>
      <c r="J16" s="173"/>
      <c r="K16" s="173"/>
      <c r="L16" s="173"/>
      <c r="M16" s="173"/>
      <c r="N16" s="174"/>
    </row>
    <row r="17" spans="2:14">
      <c r="B17" s="175"/>
      <c r="C17" s="173"/>
      <c r="D17" s="173"/>
      <c r="E17" s="173"/>
      <c r="F17" s="173"/>
      <c r="G17" s="174"/>
      <c r="I17" s="175"/>
      <c r="J17" s="173"/>
      <c r="K17" s="173"/>
      <c r="L17" s="173"/>
      <c r="M17" s="173"/>
      <c r="N17" s="174"/>
    </row>
    <row r="18" spans="2:14">
      <c r="B18" s="175"/>
      <c r="C18" s="173"/>
      <c r="D18" s="173"/>
      <c r="E18" s="173"/>
      <c r="F18" s="173"/>
      <c r="G18" s="174"/>
      <c r="I18" s="175"/>
      <c r="J18" s="173"/>
      <c r="K18" s="173"/>
      <c r="L18" s="173"/>
      <c r="M18" s="173"/>
      <c r="N18" s="174"/>
    </row>
    <row r="19" spans="2:14">
      <c r="B19" s="175"/>
      <c r="C19" s="173"/>
      <c r="D19" s="173"/>
      <c r="E19" s="173"/>
      <c r="F19" s="173"/>
      <c r="G19" s="174"/>
      <c r="I19" s="175"/>
      <c r="J19" s="173"/>
      <c r="K19" s="173"/>
      <c r="L19" s="173"/>
      <c r="M19" s="173"/>
      <c r="N19" s="174"/>
    </row>
    <row r="20" spans="2:14">
      <c r="B20" s="175"/>
      <c r="C20" s="173"/>
      <c r="D20" s="173"/>
      <c r="E20" s="173"/>
      <c r="F20" s="173"/>
      <c r="G20" s="174"/>
      <c r="I20" s="175"/>
      <c r="J20" s="173"/>
      <c r="K20" s="173"/>
      <c r="L20" s="173"/>
      <c r="M20" s="173"/>
      <c r="N20" s="174"/>
    </row>
    <row r="21" spans="2:14" ht="17.25" thickBot="1">
      <c r="B21" s="176"/>
      <c r="C21" s="177"/>
      <c r="D21" s="177"/>
      <c r="E21" s="177"/>
      <c r="F21" s="177"/>
      <c r="G21" s="178"/>
      <c r="I21" s="176"/>
      <c r="J21" s="177"/>
      <c r="K21" s="177"/>
      <c r="L21" s="177"/>
      <c r="M21" s="177"/>
      <c r="N21" s="178"/>
    </row>
    <row r="22" spans="2:14" ht="17.25" thickBot="1"/>
    <row r="23" spans="2:14">
      <c r="B23" s="179" t="s">
        <v>90</v>
      </c>
      <c r="C23" s="180"/>
      <c r="D23" s="180"/>
      <c r="E23" s="180"/>
      <c r="F23" s="180"/>
      <c r="G23" s="181"/>
      <c r="I23" s="179" t="s">
        <v>90</v>
      </c>
      <c r="J23" s="180"/>
      <c r="K23" s="180"/>
      <c r="L23" s="180"/>
      <c r="M23" s="180"/>
      <c r="N23" s="181"/>
    </row>
    <row r="24" spans="2:14">
      <c r="B24" s="182"/>
      <c r="C24" s="183"/>
      <c r="D24" s="183"/>
      <c r="E24" s="183"/>
      <c r="F24" s="183"/>
      <c r="G24" s="184"/>
      <c r="I24" s="182"/>
      <c r="J24" s="183"/>
      <c r="K24" s="183"/>
      <c r="L24" s="183"/>
      <c r="M24" s="183"/>
      <c r="N24" s="184"/>
    </row>
    <row r="25" spans="2:14">
      <c r="B25" s="182"/>
      <c r="C25" s="183"/>
      <c r="D25" s="183"/>
      <c r="E25" s="183"/>
      <c r="F25" s="183"/>
      <c r="G25" s="184"/>
      <c r="I25" s="182"/>
      <c r="J25" s="183"/>
      <c r="K25" s="183"/>
      <c r="L25" s="183"/>
      <c r="M25" s="183"/>
      <c r="N25" s="184"/>
    </row>
    <row r="26" spans="2:14">
      <c r="B26" s="182"/>
      <c r="C26" s="183"/>
      <c r="D26" s="183"/>
      <c r="E26" s="183"/>
      <c r="F26" s="183"/>
      <c r="G26" s="184"/>
      <c r="I26" s="182"/>
      <c r="J26" s="183"/>
      <c r="K26" s="183"/>
      <c r="L26" s="183"/>
      <c r="M26" s="183"/>
      <c r="N26" s="184"/>
    </row>
    <row r="27" spans="2:14" ht="31.5">
      <c r="B27" s="78"/>
      <c r="C27" s="79"/>
      <c r="D27" s="79"/>
      <c r="E27" s="79"/>
      <c r="F27" s="79"/>
      <c r="G27" s="80"/>
      <c r="I27" s="78"/>
      <c r="J27" s="79"/>
      <c r="K27" s="79"/>
      <c r="L27" s="79"/>
      <c r="M27" s="79"/>
      <c r="N27" s="80"/>
    </row>
    <row r="28" spans="2:14" ht="31.5" customHeight="1" thickBot="1">
      <c r="B28" s="81" t="s">
        <v>91</v>
      </c>
      <c r="C28" s="82"/>
      <c r="D28" s="82"/>
      <c r="E28" s="82"/>
      <c r="F28" s="82"/>
      <c r="G28" s="83"/>
      <c r="I28" s="81" t="s">
        <v>91</v>
      </c>
      <c r="J28" s="82"/>
      <c r="K28" s="82"/>
      <c r="L28" s="82"/>
      <c r="M28" s="82"/>
      <c r="N28" s="83"/>
    </row>
    <row r="29" spans="2:14" ht="31.5" customHeight="1" thickBot="1">
      <c r="B29" s="81" t="s">
        <v>92</v>
      </c>
      <c r="C29" s="82"/>
      <c r="D29" s="82"/>
      <c r="E29" s="82"/>
      <c r="F29" s="82"/>
      <c r="G29" s="83"/>
      <c r="I29" s="81" t="s">
        <v>92</v>
      </c>
      <c r="J29" s="82"/>
      <c r="K29" s="82"/>
      <c r="L29" s="82"/>
      <c r="M29" s="82"/>
      <c r="N29" s="83"/>
    </row>
    <row r="30" spans="2:14" ht="31.5" customHeight="1" thickBot="1">
      <c r="B30" s="81" t="s">
        <v>93</v>
      </c>
      <c r="C30" s="82"/>
      <c r="D30" s="82"/>
      <c r="E30" s="82"/>
      <c r="F30" s="82"/>
      <c r="G30" s="83"/>
      <c r="I30" s="81" t="s">
        <v>93</v>
      </c>
      <c r="J30" s="82"/>
      <c r="K30" s="82"/>
      <c r="L30" s="82"/>
      <c r="M30" s="82"/>
      <c r="N30" s="83"/>
    </row>
    <row r="31" spans="2:14" ht="31.5" customHeight="1" thickBot="1">
      <c r="B31" s="81" t="s">
        <v>94</v>
      </c>
      <c r="C31" s="82"/>
      <c r="D31" s="82"/>
      <c r="E31" s="82"/>
      <c r="F31" s="82"/>
      <c r="G31" s="83"/>
      <c r="I31" s="81" t="s">
        <v>94</v>
      </c>
      <c r="J31" s="82"/>
      <c r="K31" s="82"/>
      <c r="L31" s="82"/>
      <c r="M31" s="82"/>
      <c r="N31" s="83"/>
    </row>
    <row r="32" spans="2:14" ht="31.5" customHeight="1" thickBot="1">
      <c r="B32" s="81" t="s">
        <v>95</v>
      </c>
      <c r="C32" s="82"/>
      <c r="D32" s="82"/>
      <c r="E32" s="82"/>
      <c r="F32" s="82"/>
      <c r="G32" s="83"/>
      <c r="I32" s="81" t="s">
        <v>95</v>
      </c>
      <c r="J32" s="82"/>
      <c r="K32" s="82"/>
      <c r="L32" s="82"/>
      <c r="M32" s="82"/>
      <c r="N32" s="83"/>
    </row>
    <row r="33" spans="2:14" ht="31.5" customHeight="1" thickBot="1">
      <c r="B33" s="81" t="s">
        <v>96</v>
      </c>
      <c r="C33" s="82"/>
      <c r="D33" s="82"/>
      <c r="E33" s="82"/>
      <c r="F33" s="82"/>
      <c r="G33" s="83"/>
      <c r="I33" s="81" t="s">
        <v>96</v>
      </c>
      <c r="J33" s="82"/>
      <c r="K33" s="82"/>
      <c r="L33" s="82"/>
      <c r="M33" s="82"/>
      <c r="N33" s="83"/>
    </row>
    <row r="34" spans="2:14" ht="26.25">
      <c r="B34" s="81"/>
      <c r="G34" s="83"/>
      <c r="I34" s="81"/>
      <c r="N34" s="83"/>
    </row>
    <row r="35" spans="2:14" ht="26.25">
      <c r="B35" s="84"/>
      <c r="D35" s="85"/>
      <c r="E35" s="86" t="s">
        <v>97</v>
      </c>
      <c r="F35" s="87"/>
      <c r="G35" s="83"/>
      <c r="I35" s="84"/>
      <c r="K35" s="85"/>
      <c r="L35" s="86" t="s">
        <v>97</v>
      </c>
      <c r="M35" s="87"/>
      <c r="N35" s="83"/>
    </row>
    <row r="36" spans="2:14">
      <c r="B36" s="88"/>
      <c r="G36" s="83"/>
      <c r="I36" s="88"/>
      <c r="N36" s="83"/>
    </row>
    <row r="37" spans="2:14">
      <c r="B37" s="172" t="s">
        <v>98</v>
      </c>
      <c r="C37" s="173"/>
      <c r="D37" s="173"/>
      <c r="E37" s="173"/>
      <c r="F37" s="173"/>
      <c r="G37" s="174"/>
      <c r="I37" s="172" t="s">
        <v>98</v>
      </c>
      <c r="J37" s="173"/>
      <c r="K37" s="173"/>
      <c r="L37" s="173"/>
      <c r="M37" s="173"/>
      <c r="N37" s="174"/>
    </row>
    <row r="38" spans="2:14">
      <c r="B38" s="175"/>
      <c r="C38" s="173"/>
      <c r="D38" s="173"/>
      <c r="E38" s="173"/>
      <c r="F38" s="173"/>
      <c r="G38" s="174"/>
      <c r="I38" s="175"/>
      <c r="J38" s="173"/>
      <c r="K38" s="173"/>
      <c r="L38" s="173"/>
      <c r="M38" s="173"/>
      <c r="N38" s="174"/>
    </row>
    <row r="39" spans="2:14">
      <c r="B39" s="175"/>
      <c r="C39" s="173"/>
      <c r="D39" s="173"/>
      <c r="E39" s="173"/>
      <c r="F39" s="173"/>
      <c r="G39" s="174"/>
      <c r="I39" s="175"/>
      <c r="J39" s="173"/>
      <c r="K39" s="173"/>
      <c r="L39" s="173"/>
      <c r="M39" s="173"/>
      <c r="N39" s="174"/>
    </row>
    <row r="40" spans="2:14">
      <c r="B40" s="175"/>
      <c r="C40" s="173"/>
      <c r="D40" s="173"/>
      <c r="E40" s="173"/>
      <c r="F40" s="173"/>
      <c r="G40" s="174"/>
      <c r="I40" s="175"/>
      <c r="J40" s="173"/>
      <c r="K40" s="173"/>
      <c r="L40" s="173"/>
      <c r="M40" s="173"/>
      <c r="N40" s="174"/>
    </row>
    <row r="41" spans="2:14">
      <c r="B41" s="175"/>
      <c r="C41" s="173"/>
      <c r="D41" s="173"/>
      <c r="E41" s="173"/>
      <c r="F41" s="173"/>
      <c r="G41" s="174"/>
      <c r="I41" s="175"/>
      <c r="J41" s="173"/>
      <c r="K41" s="173"/>
      <c r="L41" s="173"/>
      <c r="M41" s="173"/>
      <c r="N41" s="174"/>
    </row>
    <row r="42" spans="2:14" ht="17.25" thickBot="1">
      <c r="B42" s="176"/>
      <c r="C42" s="177"/>
      <c r="D42" s="177"/>
      <c r="E42" s="177"/>
      <c r="F42" s="177"/>
      <c r="G42" s="178"/>
      <c r="I42" s="176"/>
      <c r="J42" s="177"/>
      <c r="K42" s="177"/>
      <c r="L42" s="177"/>
      <c r="M42" s="177"/>
      <c r="N42" s="178"/>
    </row>
  </sheetData>
  <mergeCells count="8">
    <mergeCell ref="B37:G42"/>
    <mergeCell ref="I37:N42"/>
    <mergeCell ref="B2:G5"/>
    <mergeCell ref="I2:N5"/>
    <mergeCell ref="B16:G21"/>
    <mergeCell ref="I16:N21"/>
    <mergeCell ref="B23:G26"/>
    <mergeCell ref="I23:N26"/>
  </mergeCells>
  <phoneticPr fontId="5" type="noConversion"/>
  <pageMargins left="0.25" right="0.25" top="0.75" bottom="0.75" header="0.3" footer="0.3"/>
  <pageSetup paperSize="9" scale="73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B27E-0000-46A0-BF1A-3BEE1F869D08}">
  <sheetPr>
    <pageSetUpPr fitToPage="1"/>
  </sheetPr>
  <dimension ref="B2:K35"/>
  <sheetViews>
    <sheetView workbookViewId="0">
      <selection activeCell="E9" sqref="E9"/>
    </sheetView>
  </sheetViews>
  <sheetFormatPr defaultRowHeight="16.5" outlineLevelRow="1"/>
  <cols>
    <col min="1" max="1" width="5.21875" style="91" customWidth="1"/>
    <col min="2" max="2" width="15.21875" style="91" customWidth="1"/>
    <col min="3" max="3" width="13.77734375" style="91" customWidth="1"/>
    <col min="4" max="6" width="9.77734375" style="91" customWidth="1"/>
    <col min="7" max="16384" width="8.88671875" style="91"/>
  </cols>
  <sheetData>
    <row r="2" spans="2:10">
      <c r="B2" s="90" t="s">
        <v>116</v>
      </c>
      <c r="C2" s="115" t="s">
        <v>117</v>
      </c>
      <c r="D2" s="116"/>
      <c r="E2" s="116"/>
      <c r="F2" s="116"/>
      <c r="G2" s="117"/>
      <c r="H2" s="118"/>
      <c r="I2" s="48"/>
      <c r="J2" s="107" t="s">
        <v>116</v>
      </c>
    </row>
    <row r="3" spans="2:10">
      <c r="B3" s="92" t="s">
        <v>118</v>
      </c>
      <c r="C3" s="93" t="s">
        <v>119</v>
      </c>
      <c r="D3" s="93" t="s">
        <v>120</v>
      </c>
      <c r="E3" s="93" t="s">
        <v>121</v>
      </c>
      <c r="F3" s="93"/>
      <c r="G3" s="94"/>
      <c r="H3" s="48"/>
      <c r="I3" s="48"/>
      <c r="J3" s="91" t="s">
        <v>122</v>
      </c>
    </row>
    <row r="4" spans="2:10">
      <c r="B4" s="92" t="s">
        <v>123</v>
      </c>
      <c r="C4" s="93"/>
      <c r="D4" s="93"/>
      <c r="E4" s="93"/>
      <c r="F4" s="93"/>
      <c r="G4" s="94"/>
      <c r="H4" s="48"/>
      <c r="I4" s="48"/>
      <c r="J4" s="91" t="s">
        <v>72</v>
      </c>
    </row>
    <row r="5" spans="2:10">
      <c r="B5" s="92" t="s">
        <v>124</v>
      </c>
      <c r="C5" s="93"/>
      <c r="D5" s="93"/>
      <c r="E5" s="93"/>
      <c r="F5" s="93"/>
      <c r="G5" s="94"/>
      <c r="H5" s="48"/>
      <c r="I5" s="48"/>
      <c r="J5" s="91" t="s">
        <v>125</v>
      </c>
    </row>
    <row r="6" spans="2:10">
      <c r="B6" s="92" t="s">
        <v>126</v>
      </c>
      <c r="C6" s="93" t="s">
        <v>127</v>
      </c>
      <c r="D6" s="93" t="s">
        <v>128</v>
      </c>
      <c r="E6" s="93" t="s">
        <v>129</v>
      </c>
      <c r="F6" s="93"/>
      <c r="G6" s="94"/>
      <c r="H6" s="48"/>
      <c r="I6" s="48"/>
    </row>
    <row r="7" spans="2:10">
      <c r="B7" s="92" t="s">
        <v>130</v>
      </c>
      <c r="C7" s="93" t="s">
        <v>131</v>
      </c>
      <c r="D7" s="93" t="s">
        <v>132</v>
      </c>
      <c r="E7" s="93" t="s">
        <v>133</v>
      </c>
      <c r="F7" s="93" t="s">
        <v>134</v>
      </c>
      <c r="G7" s="94" t="s">
        <v>135</v>
      </c>
      <c r="H7" s="48" t="s">
        <v>80</v>
      </c>
      <c r="I7" s="48"/>
    </row>
    <row r="8" spans="2:10">
      <c r="B8" s="92" t="s">
        <v>86</v>
      </c>
      <c r="C8" s="93"/>
      <c r="D8" s="93"/>
      <c r="E8" s="93"/>
      <c r="F8" s="93"/>
      <c r="G8" s="94"/>
      <c r="H8" s="48"/>
      <c r="I8" s="48"/>
    </row>
    <row r="9" spans="2:10">
      <c r="B9" s="92" t="s">
        <v>136</v>
      </c>
      <c r="C9" s="93" t="s">
        <v>137</v>
      </c>
      <c r="D9" s="93" t="s">
        <v>138</v>
      </c>
      <c r="E9" s="114" t="s">
        <v>190</v>
      </c>
      <c r="F9" s="93"/>
      <c r="G9" s="94"/>
      <c r="H9" s="48"/>
      <c r="I9" s="48"/>
    </row>
    <row r="10" spans="2:10">
      <c r="B10" s="92" t="s">
        <v>11</v>
      </c>
      <c r="C10" s="93"/>
      <c r="D10" s="93"/>
      <c r="E10" s="93"/>
      <c r="F10" s="93"/>
      <c r="G10" s="94"/>
      <c r="H10" s="48"/>
      <c r="I10" s="48"/>
    </row>
    <row r="11" spans="2:10">
      <c r="B11" s="92" t="s">
        <v>139</v>
      </c>
      <c r="C11" s="93"/>
      <c r="D11" s="93"/>
      <c r="E11" s="93"/>
      <c r="F11" s="93"/>
      <c r="G11" s="94"/>
      <c r="H11" s="48"/>
      <c r="I11" s="48"/>
    </row>
    <row r="12" spans="2:10">
      <c r="B12" s="92" t="s">
        <v>140</v>
      </c>
      <c r="C12" s="93"/>
      <c r="D12" s="93"/>
      <c r="E12" s="93"/>
      <c r="F12" s="93"/>
      <c r="G12" s="94"/>
      <c r="H12" s="48"/>
      <c r="I12" s="48"/>
    </row>
    <row r="13" spans="2:10">
      <c r="B13" s="92" t="s">
        <v>141</v>
      </c>
      <c r="C13" s="93" t="s">
        <v>142</v>
      </c>
      <c r="D13" s="93"/>
      <c r="E13" s="93"/>
      <c r="F13" s="93"/>
      <c r="G13" s="94"/>
      <c r="H13" s="48"/>
      <c r="I13" s="48"/>
    </row>
    <row r="14" spans="2:10">
      <c r="B14" s="95" t="s">
        <v>153</v>
      </c>
      <c r="C14" s="48" t="s">
        <v>195</v>
      </c>
      <c r="D14" s="48"/>
      <c r="E14" s="48"/>
      <c r="F14" s="48"/>
      <c r="G14" s="48"/>
      <c r="H14" s="48"/>
      <c r="I14" s="48"/>
    </row>
    <row r="15" spans="2:10">
      <c r="B15" s="95" t="s">
        <v>154</v>
      </c>
      <c r="C15" s="48"/>
      <c r="D15" s="48"/>
      <c r="E15" s="48"/>
      <c r="F15" s="48"/>
      <c r="G15" s="48"/>
      <c r="H15" s="48"/>
      <c r="I15" s="48"/>
    </row>
    <row r="16" spans="2:10">
      <c r="B16" s="48"/>
      <c r="C16" s="48"/>
      <c r="D16" s="48"/>
      <c r="E16" s="48"/>
      <c r="F16" s="48"/>
      <c r="G16" s="48"/>
      <c r="H16" s="48"/>
      <c r="I16" s="48"/>
    </row>
    <row r="17" spans="2:11">
      <c r="B17" s="48"/>
      <c r="C17" s="48"/>
      <c r="D17" s="48"/>
      <c r="E17" s="48"/>
      <c r="F17" s="48"/>
      <c r="G17" s="48"/>
      <c r="H17" s="48"/>
      <c r="I17" s="48"/>
    </row>
    <row r="26" spans="2:11" hidden="1" outlineLevel="1"/>
    <row r="27" spans="2:11" hidden="1" outlineLevel="1">
      <c r="B27" s="91" t="s">
        <v>143</v>
      </c>
    </row>
    <row r="28" spans="2:11" hidden="1" outlineLevel="1">
      <c r="C28" s="91" t="s">
        <v>144</v>
      </c>
      <c r="K28" s="96" t="s">
        <v>145</v>
      </c>
    </row>
    <row r="29" spans="2:11" hidden="1" outlineLevel="1">
      <c r="B29" s="91" t="s">
        <v>146</v>
      </c>
    </row>
    <row r="30" spans="2:11" hidden="1" outlineLevel="1">
      <c r="C30" s="91" t="s">
        <v>147</v>
      </c>
    </row>
    <row r="31" spans="2:11" hidden="1" outlineLevel="1">
      <c r="C31" s="91" t="s">
        <v>148</v>
      </c>
      <c r="K31" s="96" t="s">
        <v>149</v>
      </c>
    </row>
    <row r="32" spans="2:11" hidden="1" outlineLevel="1">
      <c r="B32" s="91" t="s">
        <v>118</v>
      </c>
    </row>
    <row r="33" spans="3:11" hidden="1" outlineLevel="1">
      <c r="C33" s="91" t="s">
        <v>150</v>
      </c>
      <c r="K33" s="96" t="s">
        <v>151</v>
      </c>
    </row>
    <row r="34" spans="3:11" hidden="1" outlineLevel="1">
      <c r="C34" s="91" t="s">
        <v>152</v>
      </c>
    </row>
    <row r="35" spans="3:11" collapsed="1"/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6</vt:i4>
      </vt:variant>
    </vt:vector>
  </HeadingPairs>
  <TitlesOfParts>
    <vt:vector size="13" baseType="lpstr">
      <vt:lpstr>출장비 정산(원화지급원화회수)</vt:lpstr>
      <vt:lpstr>출장비 정산(외화지급외화회수)</vt:lpstr>
      <vt:lpstr>2-1출장경비 법인카드</vt:lpstr>
      <vt:lpstr>2-2출장경비 현금</vt:lpstr>
      <vt:lpstr>2-3출장경비 개인경비</vt:lpstr>
      <vt:lpstr>3.간이영수증 샘플</vt:lpstr>
      <vt:lpstr>4.분류</vt:lpstr>
      <vt:lpstr>'2-1출장경비 법인카드'!Print_Area</vt:lpstr>
      <vt:lpstr>'2-2출장경비 현금'!Print_Area</vt:lpstr>
      <vt:lpstr>'2-3출장경비 개인경비'!Print_Area</vt:lpstr>
      <vt:lpstr>'3.간이영수증 샘플'!Print_Area</vt:lpstr>
      <vt:lpstr>'출장비 정산(외화지급외화회수)'!Print_Area</vt:lpstr>
      <vt:lpstr>'출장비 정산(원화지급원화회수)'!Print_Area</vt:lpstr>
    </vt:vector>
  </TitlesOfParts>
  <Company>에코마이스터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세관</dc:creator>
  <cp:lastModifiedBy>hytc</cp:lastModifiedBy>
  <cp:lastPrinted>2025-12-02T04:51:55Z</cp:lastPrinted>
  <dcterms:created xsi:type="dcterms:W3CDTF">2004-01-15T09:56:20Z</dcterms:created>
  <dcterms:modified xsi:type="dcterms:W3CDTF">2026-06-29T06:12:39Z</dcterms:modified>
</cp:coreProperties>
</file>